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dar_Ejecutivo" sheetId="1" state="visible" r:id="rId1"/>
    <sheet xmlns:r="http://schemas.openxmlformats.org/officeDocument/2006/relationships" name="Ranking_Nacional" sheetId="2" state="visible" r:id="rId2"/>
    <sheet xmlns:r="http://schemas.openxmlformats.org/officeDocument/2006/relationships" name="Semaforo_Territorial" sheetId="3" state="visible" r:id="rId3"/>
  </sheets>
  <definedNames/>
  <calcPr calcId="124519" fullCalcOnLoad="1"/>
</workbook>
</file>

<file path=xl/styles.xml><?xml version="1.0" encoding="utf-8"?>
<styleSheet xmlns="http://schemas.openxmlformats.org/spreadsheetml/2006/main">
  <numFmts count="1">
    <numFmt numFmtId="164" formatCode="&quot;S/ &quot; #,##0"/>
  </numFmts>
  <fonts count="9">
    <font>
      <name val="Calibri"/>
      <family val="2"/>
      <color theme="1"/>
      <sz val="11"/>
      <scheme val="minor"/>
    </font>
    <font>
      <b val="1"/>
      <color rgb="00FFFFFF"/>
      <sz val="20"/>
    </font>
    <font>
      <i val="1"/>
      <color rgb="00404040"/>
      <sz val="11"/>
    </font>
    <font>
      <b val="1"/>
      <color rgb="00FFFFFF"/>
      <sz val="13"/>
    </font>
    <font>
      <b val="1"/>
      <color rgb="00143D33"/>
      <sz val="14"/>
    </font>
    <font>
      <color rgb="00404040"/>
      <sz val="11"/>
    </font>
    <font>
      <b val="1"/>
      <color rgb="00FFFFFF"/>
    </font>
    <font>
      <b val="1"/>
      <color rgb="00D9534F"/>
      <sz val="14"/>
    </font>
    <font>
      <i val="1"/>
      <color rgb="00404040"/>
      <sz val="10"/>
    </font>
  </fonts>
  <fills count="13">
    <fill>
      <patternFill/>
    </fill>
    <fill>
      <patternFill patternType="gray125"/>
    </fill>
    <fill>
      <patternFill patternType="solid">
        <fgColor rgb="00143D33"/>
      </patternFill>
    </fill>
    <fill>
      <patternFill patternType="solid">
        <fgColor rgb="002F6B9A"/>
      </patternFill>
    </fill>
    <fill>
      <patternFill patternType="solid">
        <fgColor rgb="002E7D5B"/>
      </patternFill>
    </fill>
    <fill>
      <patternFill patternType="solid">
        <fgColor rgb="00174A73"/>
      </patternFill>
    </fill>
    <fill>
      <patternFill patternType="solid">
        <fgColor rgb="00D9534F"/>
      </patternFill>
    </fill>
    <fill>
      <patternFill patternType="solid">
        <fgColor rgb="00F39C45"/>
      </patternFill>
    </fill>
    <fill>
      <patternFill patternType="solid">
        <fgColor rgb="00C9CED3"/>
      </patternFill>
    </fill>
    <fill>
      <patternFill patternType="solid">
        <fgColor rgb="00F3F5F7"/>
      </patternFill>
    </fill>
    <fill>
      <patternFill patternType="solid">
        <fgColor rgb="00E6C84F"/>
      </patternFill>
    </fill>
    <fill>
      <patternFill patternType="solid">
        <fgColor rgb="0065B68A"/>
      </patternFill>
    </fill>
    <fill>
      <patternFill patternType="solid">
        <fgColor rgb="00E8EEF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xf>
    <xf numFmtId="0" fontId="3" fillId="3" borderId="0" applyAlignment="1" pivotButton="0" quotePrefix="0" xfId="0">
      <alignment horizontal="center" vertical="center" wrapText="1"/>
    </xf>
    <xf numFmtId="0" fontId="3" fillId="4" borderId="0" applyAlignment="1" pivotButton="0" quotePrefix="0" xfId="0">
      <alignment horizontal="center" vertical="center" wrapText="1"/>
    </xf>
    <xf numFmtId="0" fontId="3" fillId="5" borderId="0" applyAlignment="1" pivotButton="0" quotePrefix="0" xfId="0">
      <alignment horizontal="center" vertical="center" wrapText="1"/>
    </xf>
    <xf numFmtId="0" fontId="3" fillId="2" borderId="0" applyAlignment="1" pivotButton="0" quotePrefix="0" xfId="0">
      <alignment horizontal="center" vertical="center" wrapText="1"/>
    </xf>
    <xf numFmtId="0" fontId="3" fillId="6" borderId="0" applyAlignment="1" pivotButton="0" quotePrefix="0" xfId="0">
      <alignment horizontal="center" vertical="center" wrapText="1"/>
    </xf>
    <xf numFmtId="0" fontId="3" fillId="7" borderId="0" applyAlignment="1" pivotButton="0" quotePrefix="0" xfId="0">
      <alignment horizontal="center" vertical="center" wrapText="1"/>
    </xf>
    <xf numFmtId="0" fontId="3" fillId="8" borderId="0" applyAlignment="1" pivotButton="0" quotePrefix="0" xfId="0">
      <alignment horizontal="center" vertical="center" wrapText="1"/>
    </xf>
    <xf numFmtId="0" fontId="4" fillId="0" borderId="0" applyAlignment="1" pivotButton="0" quotePrefix="0" xfId="0">
      <alignment vertical="center"/>
    </xf>
    <xf numFmtId="0" fontId="5" fillId="9" borderId="0" applyAlignment="1" pivotButton="0" quotePrefix="0" xfId="0">
      <alignment vertical="top" wrapText="1"/>
    </xf>
    <xf numFmtId="0" fontId="6" fillId="2" borderId="0" applyAlignment="1" pivotButton="0" quotePrefix="0" xfId="0">
      <alignment horizontal="center"/>
    </xf>
    <xf numFmtId="0" fontId="0" fillId="0" borderId="1" pivotButton="0" quotePrefix="0" xfId="0"/>
    <xf numFmtId="0" fontId="6" fillId="6" borderId="1" applyAlignment="1" pivotButton="0" quotePrefix="0" xfId="0">
      <alignment horizontal="center"/>
    </xf>
    <xf numFmtId="0" fontId="6" fillId="7" borderId="1" applyAlignment="1" pivotButton="0" quotePrefix="0" xfId="0">
      <alignment horizontal="center"/>
    </xf>
    <xf numFmtId="0" fontId="6" fillId="4" borderId="1" applyAlignment="1" pivotButton="0" quotePrefix="0" xfId="0">
      <alignment horizontal="center"/>
    </xf>
    <xf numFmtId="0" fontId="6" fillId="10" borderId="1" applyAlignment="1" pivotButton="0" quotePrefix="0" xfId="0">
      <alignment horizontal="center"/>
    </xf>
    <xf numFmtId="0" fontId="7" fillId="0" borderId="0" applyAlignment="1" pivotButton="0" quotePrefix="0" xfId="0">
      <alignment vertical="center"/>
    </xf>
    <xf numFmtId="0" fontId="6" fillId="6" borderId="0" pivotButton="0" quotePrefix="0" xfId="0"/>
    <xf numFmtId="0" fontId="6" fillId="2" borderId="0" pivotButton="0" quotePrefix="0" xfId="0"/>
    <xf numFmtId="164" fontId="0" fillId="0" borderId="0" pivotButton="0" quotePrefix="0" xfId="0"/>
    <xf numFmtId="0" fontId="6" fillId="11" borderId="0" pivotButton="0" quotePrefix="0" xfId="0"/>
    <xf numFmtId="0" fontId="6" fillId="10" borderId="0" pivotButton="0" quotePrefix="0" xfId="0"/>
    <xf numFmtId="0" fontId="6" fillId="7" borderId="0" pivotButton="0" quotePrefix="0" xfId="0"/>
    <xf numFmtId="0" fontId="6" fillId="8" borderId="0" pivotButton="0" quotePrefix="0" xfId="0"/>
    <xf numFmtId="0" fontId="8" fillId="1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Top 10 IRNA estructural</a:t>
            </a:r>
          </a:p>
        </rich>
      </tx>
    </title>
    <plotArea>
      <barChart>
        <barDir val="bar"/>
        <grouping val="clustered"/>
        <ser>
          <idx val="0"/>
          <order val="0"/>
          <spPr>
            <a:solidFill xmlns:a="http://schemas.openxmlformats.org/drawingml/2006/main">
              <a:srgbClr val="2E7D5B"/>
            </a:solidFill>
            <a:ln xmlns:a="http://schemas.openxmlformats.org/drawingml/2006/main">
              <a:solidFill>
                <a:srgbClr val="2E7D5B"/>
              </a:solidFill>
              <a:prstDash val="solid"/>
            </a:ln>
          </spPr>
          <cat>
            <numRef>
              <f>'Radar_Ejecutivo'!$B$24:$B$33</f>
            </numRef>
          </cat>
          <val>
            <numRef>
              <f>'Radar_Ejecutivo'!$C$24:$C$33</f>
            </numRef>
          </val>
        </ser>
        <dLbls>
          <showLegendKey val="0"/>
          <showVal val="1"/>
          <showCatName val="0"/>
          <showSerName val="0"/>
        </dLbls>
        <gapWidth val="150"/>
        <axId val="10"/>
        <axId val="100"/>
      </barChart>
      <catAx>
        <axId val="10"/>
        <scaling>
          <orientation val="minMax"/>
        </scaling>
        <axPos val="l"/>
        <title>
          <tx>
            <rich>
              <a:bodyPr xmlns:a="http://schemas.openxmlformats.org/drawingml/2006/main"/>
              <a:p xmlns:a="http://schemas.openxmlformats.org/drawingml/2006/main">
                <a:pPr>
                  <a:defRPr/>
                </a:pPr>
                <a:r>
                  <a:t>IRNA</a:t>
                </a:r>
              </a:p>
            </rich>
          </tx>
        </title>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Mayores brechas IRNA</a:t>
            </a:r>
          </a:p>
        </rich>
      </tx>
    </title>
    <plotArea>
      <barChart>
        <barDir val="bar"/>
        <grouping val="clustered"/>
        <ser>
          <idx val="0"/>
          <order val="0"/>
          <spPr>
            <a:solidFill xmlns:a="http://schemas.openxmlformats.org/drawingml/2006/main">
              <a:srgbClr val="D9534F"/>
            </a:solidFill>
            <a:ln xmlns:a="http://schemas.openxmlformats.org/drawingml/2006/main">
              <a:solidFill>
                <a:srgbClr val="D9534F"/>
              </a:solidFill>
              <a:prstDash val="solid"/>
            </a:ln>
          </spPr>
          <cat>
            <numRef>
              <f>'Radar_Ejecutivo'!$A$38:$A$45</f>
            </numRef>
          </cat>
          <val>
            <numRef>
              <f>'Radar_Ejecutivo'!$D$38:$D$45</f>
            </numRef>
          </val>
        </ser>
        <dLbls>
          <showLegendKey val="0"/>
          <showVal val="1"/>
          <showCatName val="0"/>
          <showSerName val="0"/>
        </dLbls>
        <gapWidth val="150"/>
        <axId val="10"/>
        <axId val="100"/>
      </barChart>
      <catAx>
        <axId val="10"/>
        <scaling>
          <orientation val="minMax"/>
        </scaling>
        <axPos val="l"/>
        <title>
          <tx>
            <rich>
              <a:bodyPr xmlns:a="http://schemas.openxmlformats.org/drawingml/2006/main"/>
              <a:p xmlns:a="http://schemas.openxmlformats.org/drawingml/2006/main">
                <a:pPr>
                  <a:defRPr/>
                </a:pPr>
                <a:r>
                  <a:t>Brecha</a:t>
                </a:r>
              </a:p>
            </rich>
          </tx>
        </title>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7</col>
      <colOff>0</colOff>
      <row>22</row>
      <rowOff>0</rowOff>
    </from>
    <ext cx="612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7</col>
      <colOff>0</colOff>
      <row>36</row>
      <rowOff>0</rowOff>
    </from>
    <ext cx="612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P77"/>
  <sheetViews>
    <sheetView showGridLines="0" workbookViewId="0">
      <selection activeCell="A1" sqref="A1"/>
    </sheetView>
  </sheetViews>
  <sheetFormatPr baseColWidth="8" defaultRowHeight="15"/>
  <cols>
    <col width="24" customWidth="1" min="1" max="1"/>
    <col width="18" customWidth="1" min="2" max="2"/>
    <col width="15" customWidth="1" min="3" max="3"/>
    <col width="15" customWidth="1" min="4" max="4"/>
    <col width="30" customWidth="1" min="5" max="5"/>
    <col width="13" customWidth="1" min="6" max="6"/>
    <col width="3"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s>
  <sheetData>
    <row r="1" ht="34" customHeight="1">
      <c r="A1" s="1" t="inlineStr">
        <is>
          <t>RADAR TERRITORIAL DE INVERSIÓN PÚBLICA EN TURISMO DE NATURALEZA Y AVENTURA — PERÚ 2026</t>
        </is>
      </c>
    </row>
    <row r="2" ht="22" customHeight="1"/>
    <row r="3" ht="22" customHeight="1">
      <c r="A3" s="2" t="inlineStr">
        <is>
          <t>IRNA | Fortaleza estructural, ejecución presupuestal y brechas de gestión</t>
        </is>
      </c>
    </row>
    <row r="4" ht="22" customHeight="1"/>
    <row r="5" ht="22" customHeight="1">
      <c r="A5" s="3" t="inlineStr">
        <is>
          <t>TERRITORIOS CON EVIDENCIA
23</t>
        </is>
      </c>
      <c r="D5" s="4" t="inlineStr">
        <is>
          <t>PIM NÚCLEO RADAR
S/ 201.6 M</t>
        </is>
      </c>
      <c r="G5" s="5" t="inlineStr">
        <is>
          <t>AVANCE PRESUPUESTAL
46.4%</t>
        </is>
      </c>
      <c r="J5" s="6" t="inlineStr">
        <is>
          <t>LÍDER ESTRUCTURAL
ANCASH</t>
        </is>
      </c>
      <c r="M5" s="7" t="inlineStr">
        <is>
          <t>ALERTAS ROJAS
7</t>
        </is>
      </c>
    </row>
    <row r="6" ht="22" customHeight="1"/>
    <row r="7" ht="22" customHeight="1"/>
    <row r="8" ht="22" customHeight="1"/>
    <row r="9" ht="22" customHeight="1"/>
    <row r="10" ht="22" customHeight="1">
      <c r="A10" s="4" t="inlineStr">
        <is>
          <t>FORTALEZA CONSOLIDADA
LORETO</t>
        </is>
      </c>
      <c r="D10" s="3" t="inlineStr">
        <is>
          <t>MEDIANA IRNA
58.2</t>
        </is>
      </c>
      <c r="G10" s="3" t="inlineStr">
        <is>
          <t>MEDIANA EJECUCIÓN
36.1%</t>
        </is>
      </c>
      <c r="J10" s="8" t="inlineStr">
        <is>
          <t>ALERTAS NARANJAS
5</t>
        </is>
      </c>
      <c r="M10" s="9" t="inlineStr">
        <is>
          <t>SIN EVIDENCIA RADAR
2</t>
        </is>
      </c>
    </row>
    <row r="11" ht="22" customHeight="1"/>
    <row r="12" ht="22" customHeight="1"/>
    <row r="13" ht="22" customHeight="1"/>
    <row r="14" ht="22" customHeight="1">
      <c r="A14" s="10" t="inlineStr">
        <is>
          <t>LECTURA NACIONAL DEL RADAR</t>
        </is>
      </c>
    </row>
    <row r="15" ht="22" customHeight="1">
      <c r="A15" s="11" t="inlineStr">
        <is>
          <t>El núcleo Radar identifica S/ 201.6 millones de inversión pública vinculada al turismo de naturaleza y aventura en 23 territorios. El avance presupuestal agregado alcanza 46.4%.
ANCASH encabeza la fortaleza estructural con un IRNA de 75.4. LORETO aparece como fortaleza consolidada. La mayor brecha entre fortaleza estructural y ejecución corresponde a ANCASH (57.8 puntos), mientras que PIURA registra la mayor ejecución del núcleo (92.0%).
El Radar registra 7 alertas rojas y 5 alertas naranjas. 2 territorios aparecen como sin evidencia suficiente dentro del núcleo de inversión analizado.</t>
        </is>
      </c>
    </row>
    <row r="16" ht="22" customHeight="1"/>
    <row r="17" ht="22" customHeight="1"/>
    <row r="18" ht="22" customHeight="1"/>
    <row r="19" ht="22" customHeight="1"/>
    <row r="20" ht="22" customHeight="1"/>
    <row r="21" ht="22" customHeight="1"/>
    <row r="22" ht="22" customHeight="1">
      <c r="A22" s="10" t="inlineStr">
        <is>
          <t>TOP 10 — FORTALEZA ESTRUCTURAL IRNA</t>
        </is>
      </c>
    </row>
    <row r="23" ht="22" customHeight="1">
      <c r="A23" s="12" t="inlineStr">
        <is>
          <t>Ranking</t>
        </is>
      </c>
      <c r="B23" s="12" t="inlineStr">
        <is>
          <t>Departamento</t>
        </is>
      </c>
      <c r="C23" s="12" t="inlineStr">
        <is>
          <t>IRNA</t>
        </is>
      </c>
      <c r="D23" s="12" t="inlineStr">
        <is>
          <t>Ejecución</t>
        </is>
      </c>
      <c r="E23" s="12" t="inlineStr">
        <is>
          <t>Brecha</t>
        </is>
      </c>
      <c r="F23" s="12" t="inlineStr">
        <is>
          <t>Alerta</t>
        </is>
      </c>
    </row>
    <row r="24" ht="22" customHeight="1">
      <c r="A24" s="13" t="n">
        <v>1</v>
      </c>
      <c r="B24" s="13" t="inlineStr">
        <is>
          <t>ANCASH</t>
        </is>
      </c>
      <c r="C24" s="13" t="n">
        <v>75.40000000000001</v>
      </c>
      <c r="D24" s="13" t="n">
        <v>17.6</v>
      </c>
      <c r="E24" s="13" t="n">
        <v>57.8</v>
      </c>
      <c r="F24" s="14" t="inlineStr">
        <is>
          <t>ROJA</t>
        </is>
      </c>
    </row>
    <row r="25" ht="22" customHeight="1">
      <c r="A25" s="13" t="n">
        <v>2</v>
      </c>
      <c r="B25" s="13" t="inlineStr">
        <is>
          <t>PUNO</t>
        </is>
      </c>
      <c r="C25" s="13" t="n">
        <v>64.7</v>
      </c>
      <c r="D25" s="13" t="n">
        <v>36.1</v>
      </c>
      <c r="E25" s="13" t="n">
        <v>28.6</v>
      </c>
      <c r="F25" s="15" t="inlineStr">
        <is>
          <t>NARANJA</t>
        </is>
      </c>
    </row>
    <row r="26" ht="22" customHeight="1">
      <c r="A26" s="13" t="n">
        <v>3</v>
      </c>
      <c r="B26" s="13" t="inlineStr">
        <is>
          <t>LORETO</t>
        </is>
      </c>
      <c r="C26" s="13" t="n">
        <v>63.8</v>
      </c>
      <c r="D26" s="13" t="n">
        <v>75.8</v>
      </c>
      <c r="E26" s="13" t="n">
        <v>-12</v>
      </c>
      <c r="F26" s="16" t="inlineStr">
        <is>
          <t>VERDE</t>
        </is>
      </c>
    </row>
    <row r="27" ht="22" customHeight="1">
      <c r="A27" s="13" t="n">
        <v>4</v>
      </c>
      <c r="B27" s="13" t="inlineStr">
        <is>
          <t>AMAZONAS</t>
        </is>
      </c>
      <c r="C27" s="13" t="n">
        <v>63</v>
      </c>
      <c r="D27" s="13" t="n">
        <v>56.4</v>
      </c>
      <c r="E27" s="13" t="n">
        <v>6.6</v>
      </c>
      <c r="F27" s="17" t="inlineStr">
        <is>
          <t>AMARILLA</t>
        </is>
      </c>
    </row>
    <row r="28" ht="22" customHeight="1">
      <c r="A28" s="13" t="n">
        <v>5</v>
      </c>
      <c r="B28" s="13" t="inlineStr">
        <is>
          <t>CUSCO</t>
        </is>
      </c>
      <c r="C28" s="13" t="n">
        <v>61.8</v>
      </c>
      <c r="D28" s="13" t="n">
        <v>54.5</v>
      </c>
      <c r="E28" s="13" t="n">
        <v>7.3</v>
      </c>
      <c r="F28" s="17" t="inlineStr">
        <is>
          <t>AMARILLA</t>
        </is>
      </c>
    </row>
    <row r="29" ht="22" customHeight="1">
      <c r="A29" s="13" t="n">
        <v>6</v>
      </c>
      <c r="B29" s="13" t="inlineStr">
        <is>
          <t>AREQUIPA</t>
        </is>
      </c>
      <c r="C29" s="13" t="n">
        <v>61.5</v>
      </c>
      <c r="D29" s="13" t="n">
        <v>16.2</v>
      </c>
      <c r="E29" s="13" t="n">
        <v>45.3</v>
      </c>
      <c r="F29" s="14" t="inlineStr">
        <is>
          <t>ROJA</t>
        </is>
      </c>
    </row>
    <row r="30" ht="22" customHeight="1">
      <c r="A30" s="13" t="n">
        <v>7</v>
      </c>
      <c r="B30" s="13" t="inlineStr">
        <is>
          <t>APURIMAC</t>
        </is>
      </c>
      <c r="C30" s="13" t="n">
        <v>61.1</v>
      </c>
      <c r="D30" s="13" t="n">
        <v>79.09999999999999</v>
      </c>
      <c r="E30" s="13" t="n">
        <v>-18</v>
      </c>
      <c r="F30" s="16" t="inlineStr">
        <is>
          <t>VERDE</t>
        </is>
      </c>
    </row>
    <row r="31" ht="22" customHeight="1">
      <c r="A31" s="13" t="n">
        <v>8</v>
      </c>
      <c r="B31" s="13" t="inlineStr">
        <is>
          <t>LA LIBERTAD</t>
        </is>
      </c>
      <c r="C31" s="13" t="n">
        <v>60.3</v>
      </c>
      <c r="D31" s="13" t="n">
        <v>24.6</v>
      </c>
      <c r="E31" s="13" t="n">
        <v>35.7</v>
      </c>
      <c r="F31" s="14" t="inlineStr">
        <is>
          <t>ROJA</t>
        </is>
      </c>
    </row>
    <row r="32" ht="22" customHeight="1">
      <c r="A32" s="13" t="n">
        <v>9</v>
      </c>
      <c r="B32" s="13" t="inlineStr">
        <is>
          <t>LIMA</t>
        </is>
      </c>
      <c r="C32" s="13" t="n">
        <v>59.6</v>
      </c>
      <c r="D32" s="13" t="n">
        <v>39</v>
      </c>
      <c r="E32" s="13" t="n">
        <v>20.6</v>
      </c>
      <c r="F32" s="15" t="inlineStr">
        <is>
          <t>NARANJA</t>
        </is>
      </c>
    </row>
    <row r="33" ht="22" customHeight="1">
      <c r="A33" s="13" t="n">
        <v>10</v>
      </c>
      <c r="B33" s="13" t="inlineStr">
        <is>
          <t>JUNIN</t>
        </is>
      </c>
      <c r="C33" s="13" t="n">
        <v>59</v>
      </c>
      <c r="D33" s="13" t="n">
        <v>80.3</v>
      </c>
      <c r="E33" s="13" t="n">
        <v>-21.3</v>
      </c>
      <c r="F33" s="16" t="inlineStr">
        <is>
          <t>VERDE</t>
        </is>
      </c>
    </row>
    <row r="34" ht="22" customHeight="1"/>
    <row r="35" ht="22" customHeight="1"/>
    <row r="36" ht="22" customHeight="1">
      <c r="A36" s="18" t="inlineStr">
        <is>
          <t>BRECHAS TERRITORIALES PRIORITARIAS</t>
        </is>
      </c>
    </row>
    <row r="37" ht="22" customHeight="1">
      <c r="A37" s="19" t="inlineStr">
        <is>
          <t>Departamento</t>
        </is>
      </c>
      <c r="B37" s="19" t="inlineStr">
        <is>
          <t>IRNA</t>
        </is>
      </c>
      <c r="C37" s="19" t="inlineStr">
        <is>
          <t>Ejecución</t>
        </is>
      </c>
      <c r="D37" s="19" t="inlineStr">
        <is>
          <t>Brecha</t>
        </is>
      </c>
      <c r="E37" s="19" t="inlineStr">
        <is>
          <t>Estado</t>
        </is>
      </c>
    </row>
    <row r="38" ht="22" customHeight="1">
      <c r="A38" s="13" t="inlineStr">
        <is>
          <t>ANCASH</t>
        </is>
      </c>
      <c r="B38" s="13" t="n">
        <v>75.40000000000001</v>
      </c>
      <c r="C38" s="13" t="n">
        <v>17.6</v>
      </c>
      <c r="D38" s="13" t="n">
        <v>57.8</v>
      </c>
      <c r="E38" s="13" t="inlineStr">
        <is>
          <t>ALTO POTENCIAL - EJECUCIÓN CRÍTICA</t>
        </is>
      </c>
    </row>
    <row r="39" ht="22" customHeight="1">
      <c r="A39" s="13" t="inlineStr">
        <is>
          <t>AREQUIPA</t>
        </is>
      </c>
      <c r="B39" s="13" t="n">
        <v>61.5</v>
      </c>
      <c r="C39" s="13" t="n">
        <v>16.2</v>
      </c>
      <c r="D39" s="13" t="n">
        <v>45.3</v>
      </c>
      <c r="E39" s="13" t="inlineStr">
        <is>
          <t>ALTO POTENCIAL - EJECUCIÓN CRÍTICA</t>
        </is>
      </c>
    </row>
    <row r="40" ht="22" customHeight="1">
      <c r="A40" s="13" t="inlineStr">
        <is>
          <t>CAJAMARCA</t>
        </is>
      </c>
      <c r="B40" s="13" t="n">
        <v>55.4</v>
      </c>
      <c r="C40" s="13" t="n">
        <v>10.6</v>
      </c>
      <c r="D40" s="13" t="n">
        <v>44.8</v>
      </c>
      <c r="E40" s="13" t="inlineStr">
        <is>
          <t>POTENCIAL CON BRECHA DE GESTIÓN</t>
        </is>
      </c>
    </row>
    <row r="41" ht="22" customHeight="1">
      <c r="A41" s="13" t="inlineStr">
        <is>
          <t>MOQUEGUA</t>
        </is>
      </c>
      <c r="B41" s="13" t="n">
        <v>53.8</v>
      </c>
      <c r="C41" s="13" t="n">
        <v>10.2</v>
      </c>
      <c r="D41" s="13" t="n">
        <v>43.6</v>
      </c>
      <c r="E41" s="13" t="inlineStr">
        <is>
          <t>POTENCIAL CON BRECHA DE GESTIÓN</t>
        </is>
      </c>
    </row>
    <row r="42" ht="22" customHeight="1">
      <c r="A42" s="13" t="inlineStr">
        <is>
          <t>MADRE DE DIOS</t>
        </is>
      </c>
      <c r="B42" s="13" t="n">
        <v>58.4</v>
      </c>
      <c r="C42" s="13" t="n">
        <v>15.8</v>
      </c>
      <c r="D42" s="13" t="n">
        <v>42.6</v>
      </c>
      <c r="E42" s="13" t="inlineStr">
        <is>
          <t>POTENCIAL CON BRECHA DE GESTIÓN</t>
        </is>
      </c>
    </row>
    <row r="43" ht="22" customHeight="1">
      <c r="A43" s="13" t="inlineStr">
        <is>
          <t>SAN MARTIN</t>
        </is>
      </c>
      <c r="B43" s="13" t="n">
        <v>47.6</v>
      </c>
      <c r="C43" s="13" t="n">
        <v>6.5</v>
      </c>
      <c r="D43" s="13" t="n">
        <v>41.1</v>
      </c>
      <c r="E43" s="13" t="inlineStr">
        <is>
          <t>POTENCIAL CON BRECHA DE GESTIÓN</t>
        </is>
      </c>
    </row>
    <row r="44" ht="22" customHeight="1">
      <c r="A44" s="13" t="inlineStr">
        <is>
          <t>LA LIBERTAD</t>
        </is>
      </c>
      <c r="B44" s="13" t="n">
        <v>60.3</v>
      </c>
      <c r="C44" s="13" t="n">
        <v>24.6</v>
      </c>
      <c r="D44" s="13" t="n">
        <v>35.7</v>
      </c>
      <c r="E44" s="13" t="inlineStr">
        <is>
          <t>ALTO POTENCIAL - EJECUCIÓN CRÍTICA</t>
        </is>
      </c>
    </row>
    <row r="45" ht="22" customHeight="1">
      <c r="A45" s="13" t="inlineStr">
        <is>
          <t>PUNO</t>
        </is>
      </c>
      <c r="B45" s="13" t="n">
        <v>64.7</v>
      </c>
      <c r="C45" s="13" t="n">
        <v>36.1</v>
      </c>
      <c r="D45" s="13" t="n">
        <v>28.6</v>
      </c>
      <c r="E45" s="13" t="inlineStr">
        <is>
          <t>ALTO POTENCIAL - REQUIERE ACELERACIÓN</t>
        </is>
      </c>
    </row>
    <row r="46" ht="22" customHeight="1"/>
    <row r="47" ht="22" customHeight="1"/>
    <row r="48" ht="22" customHeight="1"/>
    <row r="49" ht="22" customHeight="1">
      <c r="A49" s="10" t="inlineStr">
        <is>
          <t>SEMÁFORO TERRITORIAL NACIONAL</t>
        </is>
      </c>
    </row>
    <row r="50" ht="22" customHeight="1">
      <c r="A50" s="20" t="inlineStr">
        <is>
          <t>Estado territorial</t>
        </is>
      </c>
      <c r="B50" s="20" t="inlineStr">
        <is>
          <t>Territorios</t>
        </is>
      </c>
      <c r="C50" s="20" t="inlineStr">
        <is>
          <t>PIM Radar</t>
        </is>
      </c>
    </row>
    <row r="51" ht="22" customHeight="1">
      <c r="A51" s="19" t="inlineStr">
        <is>
          <t>BRECHA CRÍTICA</t>
        </is>
      </c>
      <c r="B51" t="n">
        <v>7</v>
      </c>
      <c r="C51" s="21" t="n">
        <v>57510956</v>
      </c>
    </row>
    <row r="52" ht="22" customHeight="1">
      <c r="A52" s="22" t="inlineStr">
        <is>
          <t>BUENA EJECUCIÓN</t>
        </is>
      </c>
      <c r="B52" t="n">
        <v>6</v>
      </c>
      <c r="C52" s="21" t="n">
        <v>46572464</v>
      </c>
    </row>
    <row r="53" ht="22" customHeight="1">
      <c r="A53" s="23" t="inlineStr">
        <is>
          <t>EN CONSOLIDACIÓN</t>
        </is>
      </c>
      <c r="B53" t="n">
        <v>1</v>
      </c>
      <c r="C53" s="21" t="n">
        <v>0</v>
      </c>
    </row>
    <row r="54" ht="22" customHeight="1">
      <c r="A54" s="20" t="inlineStr">
        <is>
          <t>FORTALEZA CONSOLIDADA</t>
        </is>
      </c>
      <c r="B54" t="n">
        <v>2</v>
      </c>
      <c r="C54" s="21" t="n">
        <v>22708692</v>
      </c>
    </row>
    <row r="55" ht="22" customHeight="1">
      <c r="A55" s="24" t="inlineStr">
        <is>
          <t>REQUIERE ACELERACIÓN</t>
        </is>
      </c>
      <c r="B55" t="n">
        <v>7</v>
      </c>
      <c r="C55" s="21" t="n">
        <v>74799747</v>
      </c>
    </row>
    <row r="56" ht="22" customHeight="1">
      <c r="A56" s="25" t="inlineStr">
        <is>
          <t>SIN EVIDENCIA RADAR</t>
        </is>
      </c>
      <c r="B56" t="n">
        <v>2</v>
      </c>
      <c r="C56" s="21" t="n">
        <v>0</v>
      </c>
    </row>
    <row r="57" ht="22" customHeight="1"/>
    <row r="58" ht="22" customHeight="1"/>
    <row r="59" ht="22" customHeight="1"/>
    <row r="60" ht="22" customHeight="1">
      <c r="A60" s="10" t="inlineStr">
        <is>
          <t>PRIORIDADES DE GESTIÓN 2026</t>
        </is>
      </c>
    </row>
    <row r="61" ht="22" customHeight="1">
      <c r="A61" s="11" t="inlineStr">
        <is>
          <t>1. DESTRABE Y ACELERACIÓN
Prioridad territorial: ANCASH, AREQUIPA, CAJAMARCA, MOQUEGUA, MADRE DE DIOS.
2. CONSOLIDACIÓN DE FORTALEZAS
Territorios con combinación favorable de estructura y ejecución: PUNO, LORETO, AMAZONAS, CUSCO, APURIMAC.
3. GENERACIÓN DE EVIDENCIA
Huancavelica y Pasco deben diferenciarse explícitamente como territorios sin evidencia suficiente en el núcleo Radar 2026, no como territorios de bajo potencial.
4. SIGUIENTE CAPA DEL RADAR
Integrar progresivamente demanda turística, áreas naturales protegidas, conectividad, oferta empresarial, seguridad, empleo y mercado para evolucionar desde un radar de inversión pública hacia un sistema nacional de inteligencia del turismo de naturaleza y aventura.</t>
        </is>
      </c>
    </row>
    <row r="62" ht="22" customHeight="1"/>
    <row r="63" ht="22" customHeight="1"/>
    <row r="64" ht="22" customHeight="1"/>
    <row r="65" ht="22" customHeight="1"/>
    <row r="66" ht="22" customHeight="1"/>
    <row r="67" ht="22" customHeight="1"/>
    <row r="68" ht="22" customHeight="1"/>
    <row r="69" ht="22" customHeight="1"/>
    <row r="70" ht="22" customHeight="1"/>
    <row r="71" ht="22" customHeight="1"/>
    <row r="72" ht="22" customHeight="1">
      <c r="A72" s="26" t="inlineStr">
        <is>
          <t>ALCANCE METODOLÓGICO
El Radar 2026 analiza inversión pública identificada como directa o complementariamente vinculada al turismo de naturaleza y aventura. El IRNA no debe interpretarse como un índice general de competitividad turística regional. Su función es comparar fortaleza estructural de la cartera observada, ejecución presupuestal, evidencia y brechas de gestión dentro del universo analizado.</t>
        </is>
      </c>
    </row>
    <row r="73" ht="22" customHeight="1"/>
    <row r="74" ht="22" customHeight="1"/>
    <row r="75" ht="22" customHeight="1"/>
    <row r="76" ht="22" customHeight="1"/>
    <row r="77" ht="22" customHeight="1"/>
  </sheetData>
  <mergeCells count="20">
    <mergeCell ref="A5:C8"/>
    <mergeCell ref="A14:P14"/>
    <mergeCell ref="M5:P8"/>
    <mergeCell ref="G10:I12"/>
    <mergeCell ref="A1:P2"/>
    <mergeCell ref="D5:F8"/>
    <mergeCell ref="A22:P22"/>
    <mergeCell ref="A15:P20"/>
    <mergeCell ref="J5:L8"/>
    <mergeCell ref="A49:P49"/>
    <mergeCell ref="A60:P60"/>
    <mergeCell ref="A36:P36"/>
    <mergeCell ref="A10:C12"/>
    <mergeCell ref="M10:P12"/>
    <mergeCell ref="D10:F12"/>
    <mergeCell ref="G5:I8"/>
    <mergeCell ref="A3:P3"/>
    <mergeCell ref="A61:P69"/>
    <mergeCell ref="A72:P77"/>
    <mergeCell ref="J10:L12"/>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S24"/>
  <sheetViews>
    <sheetView workbookViewId="0">
      <selection activeCell="A1" sqref="A1"/>
    </sheetView>
  </sheetViews>
  <sheetFormatPr baseColWidth="8" defaultRowHeight="15"/>
  <sheetData>
    <row r="1">
      <c r="A1" t="inlineStr">
        <is>
          <t>Ranking_Radar</t>
        </is>
      </c>
      <c r="B1" t="inlineStr">
        <is>
          <t>Departamento</t>
        </is>
      </c>
      <c r="C1" t="inlineStr">
        <is>
          <t>IRNA_Estructural</t>
        </is>
      </c>
      <c r="D1" t="inlineStr">
        <is>
          <t>Categoria_Estructural</t>
        </is>
      </c>
      <c r="E1" t="inlineStr">
        <is>
          <t>IRNA_Ejecucion</t>
        </is>
      </c>
      <c r="F1" t="inlineStr">
        <is>
          <t>Categoria_Ejecucion</t>
        </is>
      </c>
      <c r="G1" t="inlineStr">
        <is>
          <t>Brecha_IRNA</t>
        </is>
      </c>
      <c r="H1" t="inlineStr">
        <is>
          <t>Categoria_Brecha</t>
        </is>
      </c>
      <c r="I1" t="inlineStr">
        <is>
          <t>Estado_Territorial</t>
        </is>
      </c>
      <c r="J1" t="inlineStr">
        <is>
          <t>Nivel_Alerta</t>
        </is>
      </c>
      <c r="K1" t="inlineStr">
        <is>
          <t>PIM_Radar</t>
        </is>
      </c>
      <c r="L1" t="inlineStr">
        <is>
          <t>Registros_Radar</t>
        </is>
      </c>
      <c r="M1" t="inlineStr">
        <is>
          <t>Proyectos_Alta_Vocacion</t>
        </is>
      </c>
      <c r="N1" t="inlineStr">
        <is>
          <t>Proyectos_Con_Evidencia</t>
        </is>
      </c>
      <c r="O1" t="inlineStr">
        <is>
          <t>Diversidad_Ambitos</t>
        </is>
      </c>
      <c r="P1" t="inlineStr">
        <is>
          <t>Diversidad_Intervenciones</t>
        </is>
      </c>
      <c r="Q1" t="inlineStr">
        <is>
          <t>Cuadrante_IRNA</t>
        </is>
      </c>
      <c r="R1" t="inlineStr">
        <is>
          <t>Recomendacion_Estrategica</t>
        </is>
      </c>
      <c r="S1" t="inlineStr">
        <is>
          <t>Devengado_Radar_Calculado</t>
        </is>
      </c>
    </row>
    <row r="2">
      <c r="A2" t="n">
        <v>1</v>
      </c>
      <c r="B2" t="inlineStr">
        <is>
          <t>ANCASH</t>
        </is>
      </c>
      <c r="C2" t="n">
        <v>75.40000000000001</v>
      </c>
      <c r="D2" t="inlineStr">
        <is>
          <t>LÍDER ESTRUCTURAL</t>
        </is>
      </c>
      <c r="E2" t="n">
        <v>17.6</v>
      </c>
      <c r="F2" t="inlineStr">
        <is>
          <t>MUY BAJA</t>
        </is>
      </c>
      <c r="G2" t="n">
        <v>57.8</v>
      </c>
      <c r="H2" t="inlineStr">
        <is>
          <t>BRECHA CRÍTICA</t>
        </is>
      </c>
      <c r="I2" t="inlineStr">
        <is>
          <t>ALTO POTENCIAL - EJECUCIÓN CRÍTICA</t>
        </is>
      </c>
      <c r="J2" t="inlineStr">
        <is>
          <t>ROJA</t>
        </is>
      </c>
      <c r="K2" t="n">
        <v>23076891</v>
      </c>
      <c r="L2" t="n">
        <v>17</v>
      </c>
      <c r="M2" t="n">
        <v>5</v>
      </c>
      <c r="N2" t="n">
        <v>2</v>
      </c>
      <c r="O2" t="n">
        <v>6</v>
      </c>
      <c r="P2" t="n">
        <v>4</v>
      </c>
      <c r="Q2" t="inlineStr">
        <is>
          <t>Q2 - ALTO POTENCIAL / BAJA EJECUCIÓN</t>
        </is>
      </c>
      <c r="R2" t="inlineStr">
        <is>
          <t>Priorizar destrabe de inversiones, seguimiento de ejecución y gestión de proyectos.</t>
        </is>
      </c>
      <c r="S2" t="n">
        <v>4061532.816</v>
      </c>
    </row>
    <row r="3">
      <c r="A3" t="n">
        <v>2</v>
      </c>
      <c r="B3" t="inlineStr">
        <is>
          <t>PUNO</t>
        </is>
      </c>
      <c r="C3" t="n">
        <v>64.7</v>
      </c>
      <c r="D3" t="inlineStr">
        <is>
          <t>ALTO POTENCIAL</t>
        </is>
      </c>
      <c r="E3" t="n">
        <v>36.1</v>
      </c>
      <c r="F3" t="inlineStr">
        <is>
          <t>BAJA</t>
        </is>
      </c>
      <c r="G3" t="n">
        <v>28.6</v>
      </c>
      <c r="H3" t="inlineStr">
        <is>
          <t>BRECHA ALTA</t>
        </is>
      </c>
      <c r="I3" t="inlineStr">
        <is>
          <t>ALTO POTENCIAL - REQUIERE ACELERACIÓN</t>
        </is>
      </c>
      <c r="J3" t="inlineStr">
        <is>
          <t>NARANJA</t>
        </is>
      </c>
      <c r="K3" t="n">
        <v>19630432</v>
      </c>
      <c r="L3" t="n">
        <v>10</v>
      </c>
      <c r="M3" t="n">
        <v>1</v>
      </c>
      <c r="N3" t="n">
        <v>1</v>
      </c>
      <c r="O3" t="n">
        <v>4</v>
      </c>
      <c r="P3" t="n">
        <v>7</v>
      </c>
      <c r="Q3" t="inlineStr">
        <is>
          <t>Q1 - ALTO POTENCIAL / ALTA EJECUCIÓN</t>
        </is>
      </c>
      <c r="R3" t="inlineStr">
        <is>
          <t>Acelerar ejecución y fortalecer cartera de productos de naturaleza y aventura.</t>
        </is>
      </c>
      <c r="S3" t="n">
        <v>7086585.952000001</v>
      </c>
    </row>
    <row r="4">
      <c r="A4" t="n">
        <v>3</v>
      </c>
      <c r="B4" t="inlineStr">
        <is>
          <t>LORETO</t>
        </is>
      </c>
      <c r="C4" t="n">
        <v>63.8</v>
      </c>
      <c r="D4" t="inlineStr">
        <is>
          <t>ALTO POTENCIAL</t>
        </is>
      </c>
      <c r="E4" t="n">
        <v>75.8</v>
      </c>
      <c r="F4" t="inlineStr">
        <is>
          <t>ALTA</t>
        </is>
      </c>
      <c r="G4" t="n">
        <v>-12</v>
      </c>
      <c r="H4" t="inlineStr">
        <is>
          <t>EJECUCIÓN SUPERIOR AL POTENCIAL</t>
        </is>
      </c>
      <c r="I4" t="inlineStr">
        <is>
          <t>FORTALEZA CONSOLIDADA</t>
        </is>
      </c>
      <c r="J4" t="inlineStr">
        <is>
          <t>VERDE</t>
        </is>
      </c>
      <c r="K4" t="n">
        <v>21143232</v>
      </c>
      <c r="L4" t="n">
        <v>6</v>
      </c>
      <c r="M4" t="n">
        <v>1</v>
      </c>
      <c r="N4" t="n">
        <v>1</v>
      </c>
      <c r="O4" t="n">
        <v>3</v>
      </c>
      <c r="P4" t="n">
        <v>6</v>
      </c>
      <c r="Q4" t="inlineStr">
        <is>
          <t>Q1 - ALTO POTENCIAL / ALTA EJECUCIÓN</t>
        </is>
      </c>
      <c r="R4" t="inlineStr">
        <is>
          <t>Consolidar producto, promoción y articulación público-privada.</t>
        </is>
      </c>
      <c r="S4" t="n">
        <v>16026569.856</v>
      </c>
    </row>
    <row r="5">
      <c r="A5" t="n">
        <v>4</v>
      </c>
      <c r="B5" t="inlineStr">
        <is>
          <t>AMAZONAS</t>
        </is>
      </c>
      <c r="C5" t="n">
        <v>63</v>
      </c>
      <c r="D5" t="inlineStr">
        <is>
          <t>ALTO POTENCIAL</t>
        </is>
      </c>
      <c r="E5" t="n">
        <v>56.4</v>
      </c>
      <c r="F5" t="inlineStr">
        <is>
          <t>MEDIA</t>
        </is>
      </c>
      <c r="G5" t="n">
        <v>6.6</v>
      </c>
      <c r="H5" t="inlineStr">
        <is>
          <t>BRECHA MODERADA</t>
        </is>
      </c>
      <c r="I5" t="inlineStr">
        <is>
          <t>ALTO POTENCIAL - REQUIERE ACELERACIÓN</t>
        </is>
      </c>
      <c r="J5" t="inlineStr">
        <is>
          <t>AMARILLA</t>
        </is>
      </c>
      <c r="K5" t="n">
        <v>16029860</v>
      </c>
      <c r="L5" t="n">
        <v>5</v>
      </c>
      <c r="M5" t="n">
        <v>1</v>
      </c>
      <c r="N5" t="n">
        <v>1</v>
      </c>
      <c r="O5" t="n">
        <v>5</v>
      </c>
      <c r="P5" t="n">
        <v>3</v>
      </c>
      <c r="Q5" t="inlineStr">
        <is>
          <t>Q1 - ALTO POTENCIAL / ALTA EJECUCIÓN</t>
        </is>
      </c>
      <c r="R5" t="inlineStr">
        <is>
          <t>Acelerar ejecución y fortalecer cartera de productos de naturaleza y aventura.</t>
        </is>
      </c>
      <c r="S5" t="n">
        <v>9040841.039999999</v>
      </c>
    </row>
    <row r="6">
      <c r="A6" t="n">
        <v>5</v>
      </c>
      <c r="B6" t="inlineStr">
        <is>
          <t>CUSCO</t>
        </is>
      </c>
      <c r="C6" t="n">
        <v>61.8</v>
      </c>
      <c r="D6" t="inlineStr">
        <is>
          <t>ALTO POTENCIAL</t>
        </is>
      </c>
      <c r="E6" t="n">
        <v>54.5</v>
      </c>
      <c r="F6" t="inlineStr">
        <is>
          <t>MEDIA</t>
        </is>
      </c>
      <c r="G6" t="n">
        <v>7.3</v>
      </c>
      <c r="H6" t="inlineStr">
        <is>
          <t>BRECHA MODERADA</t>
        </is>
      </c>
      <c r="I6" t="inlineStr">
        <is>
          <t>ALTO POTENCIAL - REQUIERE ACELERACIÓN</t>
        </is>
      </c>
      <c r="J6" t="inlineStr">
        <is>
          <t>AMARILLA</t>
        </is>
      </c>
      <c r="K6" t="n">
        <v>3906375</v>
      </c>
      <c r="L6" t="n">
        <v>15</v>
      </c>
      <c r="M6" t="n">
        <v>1</v>
      </c>
      <c r="N6" t="n">
        <v>1</v>
      </c>
      <c r="O6" t="n">
        <v>5</v>
      </c>
      <c r="P6" t="n">
        <v>5</v>
      </c>
      <c r="Q6" t="inlineStr">
        <is>
          <t>Q1 - ALTO POTENCIAL / ALTA EJECUCIÓN</t>
        </is>
      </c>
      <c r="R6" t="inlineStr">
        <is>
          <t>Acelerar ejecución y fortalecer cartera de productos de naturaleza y aventura.</t>
        </is>
      </c>
      <c r="S6" t="n">
        <v>2128974.375</v>
      </c>
    </row>
    <row r="7">
      <c r="A7" t="n">
        <v>6</v>
      </c>
      <c r="B7" t="inlineStr">
        <is>
          <t>AREQUIPA</t>
        </is>
      </c>
      <c r="C7" t="n">
        <v>61.5</v>
      </c>
      <c r="D7" t="inlineStr">
        <is>
          <t>ALTO POTENCIAL</t>
        </is>
      </c>
      <c r="E7" t="n">
        <v>16.2</v>
      </c>
      <c r="F7" t="inlineStr">
        <is>
          <t>MUY BAJA</t>
        </is>
      </c>
      <c r="G7" t="n">
        <v>45.3</v>
      </c>
      <c r="H7" t="inlineStr">
        <is>
          <t>BRECHA CRÍTICA</t>
        </is>
      </c>
      <c r="I7" t="inlineStr">
        <is>
          <t>ALTO POTENCIAL - EJECUCIÓN CRÍTICA</t>
        </is>
      </c>
      <c r="J7" t="inlineStr">
        <is>
          <t>ROJA</t>
        </is>
      </c>
      <c r="K7" t="n">
        <v>10972528</v>
      </c>
      <c r="L7" t="n">
        <v>12</v>
      </c>
      <c r="M7" t="n">
        <v>1</v>
      </c>
      <c r="N7" t="n">
        <v>1</v>
      </c>
      <c r="O7" t="n">
        <v>4</v>
      </c>
      <c r="P7" t="n">
        <v>5</v>
      </c>
      <c r="Q7" t="inlineStr">
        <is>
          <t>Q2 - ALTO POTENCIAL / BAJA EJECUCIÓN</t>
        </is>
      </c>
      <c r="R7" t="inlineStr">
        <is>
          <t>Priorizar destrabe de inversiones, seguimiento de ejecución y gestión de proyectos.</t>
        </is>
      </c>
      <c r="S7" t="n">
        <v>1777549.536</v>
      </c>
    </row>
    <row r="8">
      <c r="A8" t="n">
        <v>7</v>
      </c>
      <c r="B8" t="inlineStr">
        <is>
          <t>APURIMAC</t>
        </is>
      </c>
      <c r="C8" t="n">
        <v>61.1</v>
      </c>
      <c r="D8" t="inlineStr">
        <is>
          <t>ALTO POTENCIAL</t>
        </is>
      </c>
      <c r="E8" t="n">
        <v>79.09999999999999</v>
      </c>
      <c r="F8" t="inlineStr">
        <is>
          <t>ALTA</t>
        </is>
      </c>
      <c r="G8" t="n">
        <v>-18</v>
      </c>
      <c r="H8" t="inlineStr">
        <is>
          <t>EJECUCIÓN SUPERIOR AL POTENCIAL</t>
        </is>
      </c>
      <c r="I8" t="inlineStr">
        <is>
          <t>FORTALEZA CONSOLIDADA</t>
        </is>
      </c>
      <c r="J8" t="inlineStr">
        <is>
          <t>VERDE</t>
        </is>
      </c>
      <c r="K8" t="n">
        <v>1565460</v>
      </c>
      <c r="L8" t="n">
        <v>1</v>
      </c>
      <c r="M8" t="n">
        <v>1</v>
      </c>
      <c r="N8" t="n">
        <v>1</v>
      </c>
      <c r="O8" t="n">
        <v>1</v>
      </c>
      <c r="P8" t="n">
        <v>2</v>
      </c>
      <c r="Q8" t="inlineStr">
        <is>
          <t>Q1 - ALTO POTENCIAL / ALTA EJECUCIÓN</t>
        </is>
      </c>
      <c r="R8" t="inlineStr">
        <is>
          <t>Consolidar producto, promoción y articulación público-privada.</t>
        </is>
      </c>
      <c r="S8" t="n">
        <v>1238278.86</v>
      </c>
    </row>
    <row r="9">
      <c r="A9" t="n">
        <v>8</v>
      </c>
      <c r="B9" t="inlineStr">
        <is>
          <t>LA LIBERTAD</t>
        </is>
      </c>
      <c r="C9" t="n">
        <v>60.3</v>
      </c>
      <c r="D9" t="inlineStr">
        <is>
          <t>ALTO POTENCIAL</t>
        </is>
      </c>
      <c r="E9" t="n">
        <v>24.6</v>
      </c>
      <c r="F9" t="inlineStr">
        <is>
          <t>BAJA</t>
        </is>
      </c>
      <c r="G9" t="n">
        <v>35.7</v>
      </c>
      <c r="H9" t="inlineStr">
        <is>
          <t>BRECHA CRÍTICA</t>
        </is>
      </c>
      <c r="I9" t="inlineStr">
        <is>
          <t>ALTO POTENCIAL - EJECUCIÓN CRÍTICA</t>
        </is>
      </c>
      <c r="J9" t="inlineStr">
        <is>
          <t>ROJA</t>
        </is>
      </c>
      <c r="K9" t="n">
        <v>9875662</v>
      </c>
      <c r="L9" t="n">
        <v>10</v>
      </c>
      <c r="M9" t="n">
        <v>1</v>
      </c>
      <c r="N9" t="n">
        <v>1</v>
      </c>
      <c r="O9" t="n">
        <v>3</v>
      </c>
      <c r="P9" t="n">
        <v>6</v>
      </c>
      <c r="Q9" t="inlineStr">
        <is>
          <t>Q2 - ALTO POTENCIAL / BAJA EJECUCIÓN</t>
        </is>
      </c>
      <c r="R9" t="inlineStr">
        <is>
          <t>Priorizar destrabe de inversiones, seguimiento de ejecución y gestión de proyectos.</t>
        </is>
      </c>
      <c r="S9" t="n">
        <v>2429412.852</v>
      </c>
    </row>
    <row r="10">
      <c r="A10" t="n">
        <v>9</v>
      </c>
      <c r="B10" t="inlineStr">
        <is>
          <t>LIMA</t>
        </is>
      </c>
      <c r="C10" t="n">
        <v>59.6</v>
      </c>
      <c r="D10" t="inlineStr">
        <is>
          <t>EN CONSOLIDACIÓN</t>
        </is>
      </c>
      <c r="E10" t="n">
        <v>39</v>
      </c>
      <c r="F10" t="inlineStr">
        <is>
          <t>BAJA</t>
        </is>
      </c>
      <c r="G10" t="n">
        <v>20.6</v>
      </c>
      <c r="H10" t="inlineStr">
        <is>
          <t>BRECHA ALTA</t>
        </is>
      </c>
      <c r="I10" t="inlineStr">
        <is>
          <t>EN CONSOLIDACIÓN</t>
        </is>
      </c>
      <c r="J10" t="inlineStr">
        <is>
          <t>NARANJA</t>
        </is>
      </c>
      <c r="K10" t="n">
        <v>6264980</v>
      </c>
      <c r="L10" t="n">
        <v>14</v>
      </c>
      <c r="M10" t="n">
        <v>1</v>
      </c>
      <c r="N10" t="n">
        <v>0</v>
      </c>
      <c r="O10" t="n">
        <v>5</v>
      </c>
      <c r="P10" t="n">
        <v>6</v>
      </c>
      <c r="Q10" t="inlineStr">
        <is>
          <t>Q1 - ALTO POTENCIAL / ALTA EJECUCIÓN</t>
        </is>
      </c>
      <c r="R10" t="inlineStr">
        <is>
          <t>Fortalecer productos, articulación territorial y calidad de la cartera de inversión.</t>
        </is>
      </c>
      <c r="S10" t="n">
        <v>2443342.2</v>
      </c>
    </row>
    <row r="11">
      <c r="A11" t="n">
        <v>10</v>
      </c>
      <c r="B11" t="inlineStr">
        <is>
          <t>JUNIN</t>
        </is>
      </c>
      <c r="C11" t="n">
        <v>59</v>
      </c>
      <c r="D11" t="inlineStr">
        <is>
          <t>EN CONSOLIDACIÓN</t>
        </is>
      </c>
      <c r="E11" t="n">
        <v>80.3</v>
      </c>
      <c r="F11" t="inlineStr">
        <is>
          <t>MUY ALTA</t>
        </is>
      </c>
      <c r="G11" t="n">
        <v>-21.3</v>
      </c>
      <c r="H11" t="inlineStr">
        <is>
          <t>EJECUCIÓN SUPERIOR AL POTENCIAL</t>
        </is>
      </c>
      <c r="I11" t="inlineStr">
        <is>
          <t>EMERGENTE CON BUENA EJECUCIÓN</t>
        </is>
      </c>
      <c r="J11" t="inlineStr">
        <is>
          <t>VERDE</t>
        </is>
      </c>
      <c r="K11" t="n">
        <v>1396435</v>
      </c>
      <c r="L11" t="n">
        <v>11</v>
      </c>
      <c r="M11" t="n">
        <v>1</v>
      </c>
      <c r="N11" t="n">
        <v>1</v>
      </c>
      <c r="O11" t="n">
        <v>5</v>
      </c>
      <c r="P11" t="n">
        <v>4</v>
      </c>
      <c r="Q11" t="inlineStr">
        <is>
          <t>Q1 - ALTO POTENCIAL / ALTA EJECUCIÓN</t>
        </is>
      </c>
      <c r="R11" t="inlineStr">
        <is>
          <t>Ampliar masa crítica de proyectos y fortalecer diversificación del destino.</t>
        </is>
      </c>
      <c r="S11" t="n">
        <v>1121337.305</v>
      </c>
    </row>
    <row r="12">
      <c r="A12" t="n">
        <v>11</v>
      </c>
      <c r="B12" t="inlineStr">
        <is>
          <t>MADRE DE DIOS</t>
        </is>
      </c>
      <c r="C12" t="n">
        <v>58.4</v>
      </c>
      <c r="D12" t="inlineStr">
        <is>
          <t>EN CONSOLIDACIÓN</t>
        </is>
      </c>
      <c r="E12" t="n">
        <v>15.8</v>
      </c>
      <c r="F12" t="inlineStr">
        <is>
          <t>MUY BAJA</t>
        </is>
      </c>
      <c r="G12" t="n">
        <v>42.6</v>
      </c>
      <c r="H12" t="inlineStr">
        <is>
          <t>BRECHA CRÍTICA</t>
        </is>
      </c>
      <c r="I12" t="inlineStr">
        <is>
          <t>POTENCIAL CON BRECHA DE GESTIÓN</t>
        </is>
      </c>
      <c r="J12" t="inlineStr">
        <is>
          <t>ROJA</t>
        </is>
      </c>
      <c r="K12" t="n">
        <v>3036705</v>
      </c>
      <c r="L12" t="n">
        <v>2</v>
      </c>
      <c r="M12" t="n">
        <v>1</v>
      </c>
      <c r="N12" t="n">
        <v>1</v>
      </c>
      <c r="O12" t="n">
        <v>2</v>
      </c>
      <c r="P12" t="n">
        <v>2</v>
      </c>
      <c r="Q12" t="inlineStr">
        <is>
          <t>Q2 - ALTO POTENCIAL / BAJA EJECUCIÓN</t>
        </is>
      </c>
      <c r="R12" t="inlineStr">
        <is>
          <t>Mejorar capacidad de gestión territorial y priorizar proyectos de mayor impacto.</t>
        </is>
      </c>
      <c r="S12" t="n">
        <v>479799.39</v>
      </c>
    </row>
    <row r="13">
      <c r="A13" t="n">
        <v>12</v>
      </c>
      <c r="B13" t="inlineStr">
        <is>
          <t>AYACUCHO</t>
        </is>
      </c>
      <c r="C13" t="n">
        <v>58.2</v>
      </c>
      <c r="D13" t="inlineStr">
        <is>
          <t>EN CONSOLIDACIÓN</t>
        </is>
      </c>
      <c r="E13" t="n">
        <v>71.59999999999999</v>
      </c>
      <c r="F13" t="inlineStr">
        <is>
          <t>ALTA</t>
        </is>
      </c>
      <c r="G13" t="n">
        <v>-13.4</v>
      </c>
      <c r="H13" t="inlineStr">
        <is>
          <t>EJECUCIÓN SUPERIOR AL POTENCIAL</t>
        </is>
      </c>
      <c r="I13" t="inlineStr">
        <is>
          <t>EMERGENTE CON BUENA EJECUCIÓN</t>
        </is>
      </c>
      <c r="J13" t="inlineStr">
        <is>
          <t>VERDE</t>
        </is>
      </c>
      <c r="K13" t="n">
        <v>7389352</v>
      </c>
      <c r="L13" t="n">
        <v>10</v>
      </c>
      <c r="M13" t="n">
        <v>1</v>
      </c>
      <c r="N13" t="n">
        <v>1</v>
      </c>
      <c r="O13" t="n">
        <v>4</v>
      </c>
      <c r="P13" t="n">
        <v>4</v>
      </c>
      <c r="Q13" t="inlineStr">
        <is>
          <t>Q1 - ALTO POTENCIAL / ALTA EJECUCIÓN</t>
        </is>
      </c>
      <c r="R13" t="inlineStr">
        <is>
          <t>Ampliar masa crítica de proyectos y fortalecer diversificación del destino.</t>
        </is>
      </c>
      <c r="S13" t="n">
        <v>5290776.032</v>
      </c>
    </row>
    <row r="14">
      <c r="A14" t="n">
        <v>13</v>
      </c>
      <c r="B14" t="inlineStr">
        <is>
          <t>CAJAMARCA</t>
        </is>
      </c>
      <c r="C14" t="n">
        <v>55.4</v>
      </c>
      <c r="D14" t="inlineStr">
        <is>
          <t>EN CONSOLIDACIÓN</t>
        </is>
      </c>
      <c r="E14" t="n">
        <v>10.6</v>
      </c>
      <c r="F14" t="inlineStr">
        <is>
          <t>MUY BAJA</t>
        </is>
      </c>
      <c r="G14" t="n">
        <v>44.8</v>
      </c>
      <c r="H14" t="inlineStr">
        <is>
          <t>BRECHA CRÍTICA</t>
        </is>
      </c>
      <c r="I14" t="inlineStr">
        <is>
          <t>POTENCIAL CON BRECHA DE GESTIÓN</t>
        </is>
      </c>
      <c r="J14" t="inlineStr">
        <is>
          <t>ROJA</t>
        </is>
      </c>
      <c r="K14" t="n">
        <v>7034134</v>
      </c>
      <c r="L14" t="n">
        <v>6</v>
      </c>
      <c r="M14" t="n">
        <v>1</v>
      </c>
      <c r="N14" t="n">
        <v>0</v>
      </c>
      <c r="O14" t="n">
        <v>2</v>
      </c>
      <c r="P14" t="n">
        <v>5</v>
      </c>
      <c r="Q14" t="inlineStr">
        <is>
          <t>Q4 - MENOR POTENCIAL / BAJA EJECUCIÓN</t>
        </is>
      </c>
      <c r="R14" t="inlineStr">
        <is>
          <t>Mejorar capacidad de gestión territorial y priorizar proyectos de mayor impacto.</t>
        </is>
      </c>
      <c r="S14" t="n">
        <v>745618.2039999999</v>
      </c>
    </row>
    <row r="15">
      <c r="A15" t="n">
        <v>14</v>
      </c>
      <c r="B15" t="inlineStr">
        <is>
          <t>TACNA</t>
        </is>
      </c>
      <c r="C15" t="n">
        <v>54.5</v>
      </c>
      <c r="D15" t="inlineStr">
        <is>
          <t>EN CONSOLIDACIÓN</t>
        </is>
      </c>
      <c r="E15" t="n">
        <v>67.09999999999999</v>
      </c>
      <c r="F15" t="inlineStr">
        <is>
          <t>ALTA</t>
        </is>
      </c>
      <c r="G15" t="n">
        <v>-12.6</v>
      </c>
      <c r="H15" t="inlineStr">
        <is>
          <t>EJECUCIÓN SUPERIOR AL POTENCIAL</t>
        </is>
      </c>
      <c r="I15" t="inlineStr">
        <is>
          <t>EMERGENTE CON BUENA EJECUCIÓN</t>
        </is>
      </c>
      <c r="J15" t="inlineStr">
        <is>
          <t>VERDE</t>
        </is>
      </c>
      <c r="K15" t="n">
        <v>3848389</v>
      </c>
      <c r="L15" t="n">
        <v>6</v>
      </c>
      <c r="M15" t="n">
        <v>1</v>
      </c>
      <c r="N15" t="n">
        <v>0</v>
      </c>
      <c r="O15" t="n">
        <v>4</v>
      </c>
      <c r="P15" t="n">
        <v>3</v>
      </c>
      <c r="Q15" t="inlineStr">
        <is>
          <t>Q3 - MENOR POTENCIAL / ALTA EJECUCIÓN</t>
        </is>
      </c>
      <c r="R15" t="inlineStr">
        <is>
          <t>Ampliar masa crítica de proyectos y fortalecer diversificación del destino.</t>
        </is>
      </c>
      <c r="S15" t="n">
        <v>2582269.019</v>
      </c>
    </row>
    <row r="16">
      <c r="A16" t="n">
        <v>15</v>
      </c>
      <c r="B16" t="inlineStr">
        <is>
          <t>MOQUEGUA</t>
        </is>
      </c>
      <c r="C16" t="n">
        <v>53.8</v>
      </c>
      <c r="D16" t="inlineStr">
        <is>
          <t>EN CONSOLIDACIÓN</t>
        </is>
      </c>
      <c r="E16" t="n">
        <v>10.2</v>
      </c>
      <c r="F16" t="inlineStr">
        <is>
          <t>MUY BAJA</t>
        </is>
      </c>
      <c r="G16" t="n">
        <v>43.6</v>
      </c>
      <c r="H16" t="inlineStr">
        <is>
          <t>BRECHA CRÍTICA</t>
        </is>
      </c>
      <c r="I16" t="inlineStr">
        <is>
          <t>POTENCIAL CON BRECHA DE GESTIÓN</t>
        </is>
      </c>
      <c r="J16" t="inlineStr">
        <is>
          <t>ROJA</t>
        </is>
      </c>
      <c r="K16" t="n">
        <v>1842941</v>
      </c>
      <c r="L16" t="n">
        <v>6</v>
      </c>
      <c r="M16" t="n">
        <v>1</v>
      </c>
      <c r="N16" t="n">
        <v>1</v>
      </c>
      <c r="O16" t="n">
        <v>4</v>
      </c>
      <c r="P16" t="n">
        <v>3</v>
      </c>
      <c r="Q16" t="inlineStr">
        <is>
          <t>Q4 - MENOR POTENCIAL / BAJA EJECUCIÓN</t>
        </is>
      </c>
      <c r="R16" t="inlineStr">
        <is>
          <t>Mejorar capacidad de gestión territorial y priorizar proyectos de mayor impacto.</t>
        </is>
      </c>
      <c r="S16" t="n">
        <v>187979.982</v>
      </c>
    </row>
    <row r="17">
      <c r="A17" t="n">
        <v>16</v>
      </c>
      <c r="B17" t="inlineStr">
        <is>
          <t>HUANUCO</t>
        </is>
      </c>
      <c r="C17" t="n">
        <v>53.6</v>
      </c>
      <c r="D17" t="inlineStr">
        <is>
          <t>EN CONSOLIDACIÓN</t>
        </is>
      </c>
      <c r="E17" t="n">
        <v>27.4</v>
      </c>
      <c r="F17" t="inlineStr">
        <is>
          <t>BAJA</t>
        </is>
      </c>
      <c r="G17" t="n">
        <v>26.2</v>
      </c>
      <c r="H17" t="inlineStr">
        <is>
          <t>BRECHA ALTA</t>
        </is>
      </c>
      <c r="I17" t="inlineStr">
        <is>
          <t>EN CONSOLIDACIÓN</t>
        </is>
      </c>
      <c r="J17" t="inlineStr">
        <is>
          <t>NARANJA</t>
        </is>
      </c>
      <c r="K17" t="n">
        <v>1873115</v>
      </c>
      <c r="L17" t="n">
        <v>6</v>
      </c>
      <c r="M17" t="n">
        <v>0</v>
      </c>
      <c r="N17" t="n">
        <v>0</v>
      </c>
      <c r="O17" t="n">
        <v>3</v>
      </c>
      <c r="P17" t="n">
        <v>5</v>
      </c>
      <c r="Q17" t="inlineStr">
        <is>
          <t>Q4 - MENOR POTENCIAL / BAJA EJECUCIÓN</t>
        </is>
      </c>
      <c r="R17" t="inlineStr">
        <is>
          <t>Fortalecer productos, articulación territorial y calidad de la cartera de inversión.</t>
        </is>
      </c>
      <c r="S17" t="n">
        <v>513233.51</v>
      </c>
    </row>
    <row r="18">
      <c r="A18" t="n">
        <v>17</v>
      </c>
      <c r="B18" t="inlineStr">
        <is>
          <t>UCAYALI</t>
        </is>
      </c>
      <c r="C18" t="n">
        <v>49.6</v>
      </c>
      <c r="D18" t="inlineStr">
        <is>
          <t>EN CONSOLIDACIÓN</t>
        </is>
      </c>
      <c r="E18" t="n">
        <v>87.90000000000001</v>
      </c>
      <c r="F18" t="inlineStr">
        <is>
          <t>MUY ALTA</t>
        </is>
      </c>
      <c r="G18" t="n">
        <v>-38.3</v>
      </c>
      <c r="H18" t="inlineStr">
        <is>
          <t>EJECUCIÓN SUPERIOR AL POTENCIAL</t>
        </is>
      </c>
      <c r="I18" t="inlineStr">
        <is>
          <t>EMERGENTE CON BUENA EJECUCIÓN</t>
        </is>
      </c>
      <c r="J18" t="inlineStr">
        <is>
          <t>VERDE</t>
        </is>
      </c>
      <c r="K18" t="n">
        <v>14766747</v>
      </c>
      <c r="L18" t="n">
        <v>6</v>
      </c>
      <c r="M18" t="n">
        <v>0</v>
      </c>
      <c r="N18" t="n">
        <v>0</v>
      </c>
      <c r="O18" t="n">
        <v>3</v>
      </c>
      <c r="P18" t="n">
        <v>3</v>
      </c>
      <c r="Q18" t="inlineStr">
        <is>
          <t>Q3 - MENOR POTENCIAL / ALTA EJECUCIÓN</t>
        </is>
      </c>
      <c r="R18" t="inlineStr">
        <is>
          <t>Ampliar masa crítica de proyectos y fortalecer diversificación del destino.</t>
        </is>
      </c>
      <c r="S18" t="n">
        <v>12979970.613</v>
      </c>
    </row>
    <row r="19">
      <c r="A19" t="n">
        <v>18</v>
      </c>
      <c r="B19" t="inlineStr">
        <is>
          <t>SAN MARTIN</t>
        </is>
      </c>
      <c r="C19" t="n">
        <v>47.6</v>
      </c>
      <c r="D19" t="inlineStr">
        <is>
          <t>EN CONSOLIDACIÓN</t>
        </is>
      </c>
      <c r="E19" t="n">
        <v>6.5</v>
      </c>
      <c r="F19" t="inlineStr">
        <is>
          <t>MUY BAJA</t>
        </is>
      </c>
      <c r="G19" t="n">
        <v>41.1</v>
      </c>
      <c r="H19" t="inlineStr">
        <is>
          <t>BRECHA CRÍTICA</t>
        </is>
      </c>
      <c r="I19" t="inlineStr">
        <is>
          <t>POTENCIAL CON BRECHA DE GESTIÓN</t>
        </is>
      </c>
      <c r="J19" t="inlineStr">
        <is>
          <t>ROJA</t>
        </is>
      </c>
      <c r="K19" t="n">
        <v>1672095</v>
      </c>
      <c r="L19" t="n">
        <v>8</v>
      </c>
      <c r="M19" t="n">
        <v>0</v>
      </c>
      <c r="N19" t="n">
        <v>0</v>
      </c>
      <c r="O19" t="n">
        <v>3</v>
      </c>
      <c r="P19" t="n">
        <v>3</v>
      </c>
      <c r="Q19" t="inlineStr">
        <is>
          <t>Q4 - MENOR POTENCIAL / BAJA EJECUCIÓN</t>
        </is>
      </c>
      <c r="R19" t="inlineStr">
        <is>
          <t>Mejorar capacidad de gestión territorial y priorizar proyectos de mayor impacto.</t>
        </is>
      </c>
      <c r="S19" t="n">
        <v>108686.175</v>
      </c>
    </row>
    <row r="20">
      <c r="A20" t="n">
        <v>19</v>
      </c>
      <c r="B20" t="inlineStr">
        <is>
          <t>PIURA</t>
        </is>
      </c>
      <c r="C20" t="n">
        <v>46.3</v>
      </c>
      <c r="D20" t="inlineStr">
        <is>
          <t>EN CONSOLIDACIÓN</t>
        </is>
      </c>
      <c r="E20" t="n">
        <v>92</v>
      </c>
      <c r="F20" t="inlineStr">
        <is>
          <t>MUY ALTA</t>
        </is>
      </c>
      <c r="G20" t="n">
        <v>-45.7</v>
      </c>
      <c r="H20" t="inlineStr">
        <is>
          <t>EJECUCIÓN SUPERIOR AL POTENCIAL</t>
        </is>
      </c>
      <c r="I20" t="inlineStr">
        <is>
          <t>EMERGENTE CON BUENA EJECUCIÓN</t>
        </is>
      </c>
      <c r="J20" t="inlineStr">
        <is>
          <t>VERDE</t>
        </is>
      </c>
      <c r="K20" t="n">
        <v>16972390</v>
      </c>
      <c r="L20" t="n">
        <v>8</v>
      </c>
      <c r="M20" t="n">
        <v>0</v>
      </c>
      <c r="N20" t="n">
        <v>0</v>
      </c>
      <c r="O20" t="n">
        <v>3</v>
      </c>
      <c r="P20" t="n">
        <v>3</v>
      </c>
      <c r="Q20" t="inlineStr">
        <is>
          <t>Q3 - MENOR POTENCIAL / ALTA EJECUCIÓN</t>
        </is>
      </c>
      <c r="R20" t="inlineStr">
        <is>
          <t>Ampliar masa crítica de proyectos y fortalecer diversificación del destino.</t>
        </is>
      </c>
      <c r="S20" t="n">
        <v>15614598.8</v>
      </c>
    </row>
    <row r="21">
      <c r="A21" t="n">
        <v>20</v>
      </c>
      <c r="B21" t="inlineStr">
        <is>
          <t>ICA</t>
        </is>
      </c>
      <c r="C21" t="n">
        <v>44.9</v>
      </c>
      <c r="D21" t="inlineStr">
        <is>
          <t>EMERGENTE</t>
        </is>
      </c>
      <c r="E21" t="n">
        <v>71.3</v>
      </c>
      <c r="F21" t="inlineStr">
        <is>
          <t>ALTA</t>
        </is>
      </c>
      <c r="G21" t="n">
        <v>-26.4</v>
      </c>
      <c r="H21" t="inlineStr">
        <is>
          <t>EJECUCIÓN SUPERIOR AL POTENCIAL</t>
        </is>
      </c>
      <c r="I21" t="inlineStr">
        <is>
          <t>EMERGENTE</t>
        </is>
      </c>
      <c r="J21" t="inlineStr">
        <is>
          <t>VERDE</t>
        </is>
      </c>
      <c r="K21" t="n">
        <v>2199151</v>
      </c>
      <c r="L21" t="n">
        <v>4</v>
      </c>
      <c r="M21" t="n">
        <v>0</v>
      </c>
      <c r="N21" t="n">
        <v>0</v>
      </c>
      <c r="O21" t="n">
        <v>2</v>
      </c>
      <c r="P21" t="n">
        <v>4</v>
      </c>
      <c r="Q21" t="inlineStr">
        <is>
          <t>Q3 - MENOR POTENCIAL / ALTA EJECUCIÓN</t>
        </is>
      </c>
      <c r="R21" t="inlineStr">
        <is>
          <t>Desarrollar cartera inicial y mejorar evidencia territorial de naturaleza y aventura.</t>
        </is>
      </c>
      <c r="S21" t="n">
        <v>1567994.663</v>
      </c>
    </row>
    <row r="22">
      <c r="A22" t="n">
        <v>21</v>
      </c>
      <c r="B22" t="inlineStr">
        <is>
          <t>LAMBAYEQUE</t>
        </is>
      </c>
      <c r="C22" t="n">
        <v>42.3</v>
      </c>
      <c r="D22" t="inlineStr">
        <is>
          <t>EMERGENTE</t>
        </is>
      </c>
      <c r="E22" t="n">
        <v>27</v>
      </c>
      <c r="F22" t="inlineStr">
        <is>
          <t>BAJA</t>
        </is>
      </c>
      <c r="G22" t="n">
        <v>15.3</v>
      </c>
      <c r="H22" t="inlineStr">
        <is>
          <t>BRECHA ALTA</t>
        </is>
      </c>
      <c r="I22" t="inlineStr">
        <is>
          <t>EMERGENTE</t>
        </is>
      </c>
      <c r="J22" t="inlineStr">
        <is>
          <t>NARANJA</t>
        </is>
      </c>
      <c r="K22" t="n">
        <v>22405826</v>
      </c>
      <c r="L22" t="n">
        <v>5</v>
      </c>
      <c r="M22" t="n">
        <v>0</v>
      </c>
      <c r="N22" t="n">
        <v>0</v>
      </c>
      <c r="O22" t="n">
        <v>1</v>
      </c>
      <c r="P22" t="n">
        <v>3</v>
      </c>
      <c r="Q22" t="inlineStr">
        <is>
          <t>Q4 - MENOR POTENCIAL / BAJA EJECUCIÓN</t>
        </is>
      </c>
      <c r="R22" t="inlineStr">
        <is>
          <t>Desarrollar cartera inicial y mejorar evidencia territorial de naturaleza y aventura.</t>
        </is>
      </c>
      <c r="S22" t="n">
        <v>6049573.02</v>
      </c>
    </row>
    <row r="23">
      <c r="A23" t="n">
        <v>22</v>
      </c>
      <c r="B23" t="inlineStr">
        <is>
          <t>PROVINCIA CONSTITUCIONAL DEL CALLAO</t>
        </is>
      </c>
      <c r="C23" t="n">
        <v>26.7</v>
      </c>
      <c r="D23" t="inlineStr">
        <is>
          <t>EMERGENTE</t>
        </is>
      </c>
      <c r="E23" t="n">
        <v>0</v>
      </c>
      <c r="F23" t="inlineStr">
        <is>
          <t>MUY BAJA</t>
        </is>
      </c>
      <c r="G23" t="n">
        <v>26.7</v>
      </c>
      <c r="H23" t="inlineStr">
        <is>
          <t>BRECHA ALTA</t>
        </is>
      </c>
      <c r="I23" t="inlineStr">
        <is>
          <t>EMERGENTE</t>
        </is>
      </c>
      <c r="J23" t="inlineStr">
        <is>
          <t>NARANJA</t>
        </is>
      </c>
      <c r="K23" t="n">
        <v>4689159</v>
      </c>
      <c r="L23" t="n">
        <v>1</v>
      </c>
      <c r="M23" t="n">
        <v>0</v>
      </c>
      <c r="N23" t="n">
        <v>0</v>
      </c>
      <c r="O23" t="n">
        <v>1</v>
      </c>
      <c r="P23" t="n">
        <v>1</v>
      </c>
      <c r="Q23" t="inlineStr">
        <is>
          <t>Q4 - MENOR POTENCIAL / BAJA EJECUCIÓN</t>
        </is>
      </c>
      <c r="R23" t="inlineStr">
        <is>
          <t>Desarrollar cartera inicial y mejorar evidencia territorial de naturaleza y aventura.</t>
        </is>
      </c>
      <c r="S23" t="n">
        <v>0</v>
      </c>
    </row>
    <row r="24">
      <c r="A24" t="n">
        <v>23</v>
      </c>
      <c r="B24" t="inlineStr">
        <is>
          <t>TUMBES</t>
        </is>
      </c>
      <c r="C24" t="n">
        <v>4</v>
      </c>
      <c r="D24" t="inlineStr">
        <is>
          <t>EMERGENTE</t>
        </is>
      </c>
      <c r="E24" t="n">
        <v>0</v>
      </c>
      <c r="F24" t="inlineStr">
        <is>
          <t>MUY BAJA</t>
        </is>
      </c>
      <c r="G24" t="n">
        <v>4</v>
      </c>
      <c r="H24" t="inlineStr">
        <is>
          <t>EQUILIBRIO</t>
        </is>
      </c>
      <c r="I24" t="inlineStr">
        <is>
          <t>EMERGENTE</t>
        </is>
      </c>
      <c r="J24" t="inlineStr">
        <is>
          <t>VERDE</t>
        </is>
      </c>
      <c r="K24" t="n">
        <v>0</v>
      </c>
      <c r="L24" t="n">
        <v>1</v>
      </c>
      <c r="M24" t="n">
        <v>0</v>
      </c>
      <c r="N24" t="n">
        <v>0</v>
      </c>
      <c r="O24" t="n">
        <v>1</v>
      </c>
      <c r="P24" t="n">
        <v>1</v>
      </c>
      <c r="Q24" t="inlineStr">
        <is>
          <t>Q4 - MENOR POTENCIAL / BAJA EJECUCIÓN</t>
        </is>
      </c>
      <c r="R24" t="inlineStr">
        <is>
          <t>Desarrollar cartera inicial y mejorar evidencia territorial de naturaleza y aventura.</t>
        </is>
      </c>
      <c r="S24"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26"/>
  <sheetViews>
    <sheetView workbookViewId="0">
      <selection activeCell="A1" sqref="A1"/>
    </sheetView>
  </sheetViews>
  <sheetFormatPr baseColWidth="8" defaultRowHeight="15"/>
  <sheetData>
    <row r="1">
      <c r="A1" t="inlineStr">
        <is>
          <t>Departamento_Mapa</t>
        </is>
      </c>
      <c r="B1" t="inlineStr">
        <is>
          <t>Ranking_Radar</t>
        </is>
      </c>
      <c r="C1" t="inlineStr">
        <is>
          <t>Departamento</t>
        </is>
      </c>
      <c r="D1" t="inlineStr">
        <is>
          <t>IRNA_Estructural</t>
        </is>
      </c>
      <c r="E1" t="inlineStr">
        <is>
          <t>Categoria_Estructural</t>
        </is>
      </c>
      <c r="F1" t="inlineStr">
        <is>
          <t>IRNA_Ejecucion</t>
        </is>
      </c>
      <c r="G1" t="inlineStr">
        <is>
          <t>Categoria_Ejecucion</t>
        </is>
      </c>
      <c r="H1" t="inlineStr">
        <is>
          <t>Brecha_IRNA</t>
        </is>
      </c>
      <c r="I1" t="inlineStr">
        <is>
          <t>Categoria_Brecha</t>
        </is>
      </c>
      <c r="J1" t="inlineStr">
        <is>
          <t>Estado_Territorial</t>
        </is>
      </c>
      <c r="K1" t="inlineStr">
        <is>
          <t>Nivel_Alerta</t>
        </is>
      </c>
      <c r="L1" t="inlineStr">
        <is>
          <t>PIM_Radar</t>
        </is>
      </c>
      <c r="M1" t="inlineStr">
        <is>
          <t>Registros_Radar</t>
        </is>
      </c>
      <c r="N1" t="inlineStr">
        <is>
          <t>Proyectos_Alta_Vocacion</t>
        </is>
      </c>
      <c r="O1" t="inlineStr">
        <is>
          <t>Proyectos_Con_Evidencia</t>
        </is>
      </c>
      <c r="P1" t="inlineStr">
        <is>
          <t>Diversidad_Ambitos</t>
        </is>
      </c>
      <c r="Q1" t="inlineStr">
        <is>
          <t>Diversidad_Intervenciones</t>
        </is>
      </c>
      <c r="R1" t="inlineStr">
        <is>
          <t>Cuadrante_IRNA</t>
        </is>
      </c>
      <c r="S1" t="inlineStr">
        <is>
          <t>Recomendacion_Estrategica</t>
        </is>
      </c>
      <c r="T1" t="inlineStr">
        <is>
          <t>Departamento_Visible</t>
        </is>
      </c>
      <c r="U1" t="inlineStr">
        <is>
          <t>Estado_Semaforo</t>
        </is>
      </c>
      <c r="V1" t="inlineStr">
        <is>
          <t>Recomendacion</t>
        </is>
      </c>
    </row>
    <row r="2">
      <c r="A2" t="inlineStr">
        <is>
          <t>AMAZONAS</t>
        </is>
      </c>
      <c r="B2" t="n">
        <v>4</v>
      </c>
      <c r="C2" t="inlineStr">
        <is>
          <t>AMAZONAS</t>
        </is>
      </c>
      <c r="D2" t="n">
        <v>63</v>
      </c>
      <c r="E2" t="inlineStr">
        <is>
          <t>ALTO POTENCIAL</t>
        </is>
      </c>
      <c r="F2" t="n">
        <v>56.4</v>
      </c>
      <c r="G2" t="inlineStr">
        <is>
          <t>MEDIA</t>
        </is>
      </c>
      <c r="H2" t="n">
        <v>6.6</v>
      </c>
      <c r="I2" t="inlineStr">
        <is>
          <t>BRECHA MODERADA</t>
        </is>
      </c>
      <c r="J2" t="inlineStr">
        <is>
          <t>ALTO POTENCIAL - REQUIERE ACELERACIÓN</t>
        </is>
      </c>
      <c r="K2" t="inlineStr">
        <is>
          <t>AMARILLA</t>
        </is>
      </c>
      <c r="L2" t="n">
        <v>16029860</v>
      </c>
      <c r="M2" t="n">
        <v>5</v>
      </c>
      <c r="N2" t="n">
        <v>1</v>
      </c>
      <c r="O2" t="n">
        <v>1</v>
      </c>
      <c r="P2" t="n">
        <v>5</v>
      </c>
      <c r="Q2" t="n">
        <v>3</v>
      </c>
      <c r="R2" t="inlineStr">
        <is>
          <t>Q1 - ALTO POTENCIAL / ALTA EJECUCIÓN</t>
        </is>
      </c>
      <c r="S2" t="inlineStr">
        <is>
          <t>Acelerar ejecución y fortalecer cartera de productos de naturaleza y aventura.</t>
        </is>
      </c>
      <c r="T2" t="inlineStr">
        <is>
          <t>AMAZONAS</t>
        </is>
      </c>
      <c r="U2" t="inlineStr">
        <is>
          <t>REQUIERE ACELERACIÓN</t>
        </is>
      </c>
      <c r="V2" t="inlineStr">
        <is>
          <t>Acelerar ejecución y fortalecer la cartera de productos de naturaleza y aventura.</t>
        </is>
      </c>
    </row>
    <row r="3">
      <c r="A3" t="inlineStr">
        <is>
          <t>ANCASH</t>
        </is>
      </c>
      <c r="B3" t="n">
        <v>1</v>
      </c>
      <c r="C3" t="inlineStr">
        <is>
          <t>ANCASH</t>
        </is>
      </c>
      <c r="D3" t="n">
        <v>75.40000000000001</v>
      </c>
      <c r="E3" t="inlineStr">
        <is>
          <t>LÍDER ESTRUCTURAL</t>
        </is>
      </c>
      <c r="F3" t="n">
        <v>17.6</v>
      </c>
      <c r="G3" t="inlineStr">
        <is>
          <t>MUY BAJA</t>
        </is>
      </c>
      <c r="H3" t="n">
        <v>57.8</v>
      </c>
      <c r="I3" t="inlineStr">
        <is>
          <t>BRECHA CRÍTICA</t>
        </is>
      </c>
      <c r="J3" t="inlineStr">
        <is>
          <t>ALTO POTENCIAL - EJECUCIÓN CRÍTICA</t>
        </is>
      </c>
      <c r="K3" t="inlineStr">
        <is>
          <t>ROJA</t>
        </is>
      </c>
      <c r="L3" t="n">
        <v>23076891</v>
      </c>
      <c r="M3" t="n">
        <v>17</v>
      </c>
      <c r="N3" t="n">
        <v>5</v>
      </c>
      <c r="O3" t="n">
        <v>2</v>
      </c>
      <c r="P3" t="n">
        <v>6</v>
      </c>
      <c r="Q3" t="n">
        <v>4</v>
      </c>
      <c r="R3" t="inlineStr">
        <is>
          <t>Q2 - ALTO POTENCIAL / BAJA EJECUCIÓN</t>
        </is>
      </c>
      <c r="S3" t="inlineStr">
        <is>
          <t>Priorizar destrabe de inversiones, seguimiento de ejecución y gestión de proyectos.</t>
        </is>
      </c>
      <c r="T3" t="inlineStr">
        <is>
          <t>ANCASH</t>
        </is>
      </c>
      <c r="U3" t="inlineStr">
        <is>
          <t>BRECHA CRÍTICA</t>
        </is>
      </c>
      <c r="V3" t="inlineStr">
        <is>
          <t>Priorizar destrabe de inversiones, seguimiento de ejecución y gestión de proyectos.</t>
        </is>
      </c>
    </row>
    <row r="4">
      <c r="A4" t="inlineStr">
        <is>
          <t>APURIMAC</t>
        </is>
      </c>
      <c r="B4" t="n">
        <v>7</v>
      </c>
      <c r="C4" t="inlineStr">
        <is>
          <t>APURIMAC</t>
        </is>
      </c>
      <c r="D4" t="n">
        <v>61.1</v>
      </c>
      <c r="E4" t="inlineStr">
        <is>
          <t>ALTO POTENCIAL</t>
        </is>
      </c>
      <c r="F4" t="n">
        <v>79.09999999999999</v>
      </c>
      <c r="G4" t="inlineStr">
        <is>
          <t>ALTA</t>
        </is>
      </c>
      <c r="H4" t="n">
        <v>-18</v>
      </c>
      <c r="I4" t="inlineStr">
        <is>
          <t>EJECUCIÓN SUPERIOR AL POTENCIAL</t>
        </is>
      </c>
      <c r="J4" t="inlineStr">
        <is>
          <t>FORTALEZA CONSOLIDADA</t>
        </is>
      </c>
      <c r="K4" t="inlineStr">
        <is>
          <t>VERDE</t>
        </is>
      </c>
      <c r="L4" t="n">
        <v>1565460</v>
      </c>
      <c r="M4" t="n">
        <v>1</v>
      </c>
      <c r="N4" t="n">
        <v>1</v>
      </c>
      <c r="O4" t="n">
        <v>1</v>
      </c>
      <c r="P4" t="n">
        <v>1</v>
      </c>
      <c r="Q4" t="n">
        <v>2</v>
      </c>
      <c r="R4" t="inlineStr">
        <is>
          <t>Q1 - ALTO POTENCIAL / ALTA EJECUCIÓN</t>
        </is>
      </c>
      <c r="S4" t="inlineStr">
        <is>
          <t>Consolidar producto, promoción y articulación público-privada.</t>
        </is>
      </c>
      <c r="T4" t="inlineStr">
        <is>
          <t>APURIMAC</t>
        </is>
      </c>
      <c r="U4" t="inlineStr">
        <is>
          <t>FORTALEZA CONSOLIDADA</t>
        </is>
      </c>
      <c r="V4" t="inlineStr">
        <is>
          <t>Consolidar producto, promoción y articulación público-privada.</t>
        </is>
      </c>
    </row>
    <row r="5">
      <c r="A5" t="inlineStr">
        <is>
          <t>AREQUIPA</t>
        </is>
      </c>
      <c r="B5" t="n">
        <v>6</v>
      </c>
      <c r="C5" t="inlineStr">
        <is>
          <t>AREQUIPA</t>
        </is>
      </c>
      <c r="D5" t="n">
        <v>61.5</v>
      </c>
      <c r="E5" t="inlineStr">
        <is>
          <t>ALTO POTENCIAL</t>
        </is>
      </c>
      <c r="F5" t="n">
        <v>16.2</v>
      </c>
      <c r="G5" t="inlineStr">
        <is>
          <t>MUY BAJA</t>
        </is>
      </c>
      <c r="H5" t="n">
        <v>45.3</v>
      </c>
      <c r="I5" t="inlineStr">
        <is>
          <t>BRECHA CRÍTICA</t>
        </is>
      </c>
      <c r="J5" t="inlineStr">
        <is>
          <t>ALTO POTENCIAL - EJECUCIÓN CRÍTICA</t>
        </is>
      </c>
      <c r="K5" t="inlineStr">
        <is>
          <t>ROJA</t>
        </is>
      </c>
      <c r="L5" t="n">
        <v>10972528</v>
      </c>
      <c r="M5" t="n">
        <v>12</v>
      </c>
      <c r="N5" t="n">
        <v>1</v>
      </c>
      <c r="O5" t="n">
        <v>1</v>
      </c>
      <c r="P5" t="n">
        <v>4</v>
      </c>
      <c r="Q5" t="n">
        <v>5</v>
      </c>
      <c r="R5" t="inlineStr">
        <is>
          <t>Q2 - ALTO POTENCIAL / BAJA EJECUCIÓN</t>
        </is>
      </c>
      <c r="S5" t="inlineStr">
        <is>
          <t>Priorizar destrabe de inversiones, seguimiento de ejecución y gestión de proyectos.</t>
        </is>
      </c>
      <c r="T5" t="inlineStr">
        <is>
          <t>AREQUIPA</t>
        </is>
      </c>
      <c r="U5" t="inlineStr">
        <is>
          <t>BRECHA CRÍTICA</t>
        </is>
      </c>
      <c r="V5" t="inlineStr">
        <is>
          <t>Priorizar destrabe de inversiones, seguimiento de ejecución y gestión de proyectos.</t>
        </is>
      </c>
    </row>
    <row r="6">
      <c r="A6" t="inlineStr">
        <is>
          <t>AYACUCHO</t>
        </is>
      </c>
      <c r="B6" t="n">
        <v>12</v>
      </c>
      <c r="C6" t="inlineStr">
        <is>
          <t>AYACUCHO</t>
        </is>
      </c>
      <c r="D6" t="n">
        <v>58.2</v>
      </c>
      <c r="E6" t="inlineStr">
        <is>
          <t>EN CONSOLIDACIÓN</t>
        </is>
      </c>
      <c r="F6" t="n">
        <v>71.59999999999999</v>
      </c>
      <c r="G6" t="inlineStr">
        <is>
          <t>ALTA</t>
        </is>
      </c>
      <c r="H6" t="n">
        <v>-13.4</v>
      </c>
      <c r="I6" t="inlineStr">
        <is>
          <t>EJECUCIÓN SUPERIOR AL POTENCIAL</t>
        </is>
      </c>
      <c r="J6" t="inlineStr">
        <is>
          <t>EMERGENTE CON BUENA EJECUCIÓN</t>
        </is>
      </c>
      <c r="K6" t="inlineStr">
        <is>
          <t>VERDE</t>
        </is>
      </c>
      <c r="L6" t="n">
        <v>7389352</v>
      </c>
      <c r="M6" t="n">
        <v>10</v>
      </c>
      <c r="N6" t="n">
        <v>1</v>
      </c>
      <c r="O6" t="n">
        <v>1</v>
      </c>
      <c r="P6" t="n">
        <v>4</v>
      </c>
      <c r="Q6" t="n">
        <v>4</v>
      </c>
      <c r="R6" t="inlineStr">
        <is>
          <t>Q1 - ALTO POTENCIAL / ALTA EJECUCIÓN</t>
        </is>
      </c>
      <c r="S6" t="inlineStr">
        <is>
          <t>Ampliar masa crítica de proyectos y fortalecer diversificación del destino.</t>
        </is>
      </c>
      <c r="T6" t="inlineStr">
        <is>
          <t>AYACUCHO</t>
        </is>
      </c>
      <c r="U6" t="inlineStr">
        <is>
          <t>BUENA EJECUCIÓN</t>
        </is>
      </c>
      <c r="V6" t="inlineStr">
        <is>
          <t>Ampliar masa crítica de proyectos y fortalecer la diversificación territorial.</t>
        </is>
      </c>
    </row>
    <row r="7">
      <c r="A7" t="inlineStr">
        <is>
          <t>CAJAMARCA</t>
        </is>
      </c>
      <c r="B7" t="n">
        <v>13</v>
      </c>
      <c r="C7" t="inlineStr">
        <is>
          <t>CAJAMARCA</t>
        </is>
      </c>
      <c r="D7" t="n">
        <v>55.4</v>
      </c>
      <c r="E7" t="inlineStr">
        <is>
          <t>EN CONSOLIDACIÓN</t>
        </is>
      </c>
      <c r="F7" t="n">
        <v>10.6</v>
      </c>
      <c r="G7" t="inlineStr">
        <is>
          <t>MUY BAJA</t>
        </is>
      </c>
      <c r="H7" t="n">
        <v>44.8</v>
      </c>
      <c r="I7" t="inlineStr">
        <is>
          <t>BRECHA CRÍTICA</t>
        </is>
      </c>
      <c r="J7" t="inlineStr">
        <is>
          <t>POTENCIAL CON BRECHA DE GESTIÓN</t>
        </is>
      </c>
      <c r="K7" t="inlineStr">
        <is>
          <t>ROJA</t>
        </is>
      </c>
      <c r="L7" t="n">
        <v>7034134</v>
      </c>
      <c r="M7" t="n">
        <v>6</v>
      </c>
      <c r="N7" t="n">
        <v>1</v>
      </c>
      <c r="O7" t="n">
        <v>0</v>
      </c>
      <c r="P7" t="n">
        <v>2</v>
      </c>
      <c r="Q7" t="n">
        <v>5</v>
      </c>
      <c r="R7" t="inlineStr">
        <is>
          <t>Q4 - MENOR POTENCIAL / BAJA EJECUCIÓN</t>
        </is>
      </c>
      <c r="S7" t="inlineStr">
        <is>
          <t>Mejorar capacidad de gestión territorial y priorizar proyectos de mayor impacto.</t>
        </is>
      </c>
      <c r="T7" t="inlineStr">
        <is>
          <t>CAJAMARCA</t>
        </is>
      </c>
      <c r="U7" t="inlineStr">
        <is>
          <t>BRECHA CRÍTICA</t>
        </is>
      </c>
      <c r="V7" t="inlineStr">
        <is>
          <t>Priorizar destrabe de inversiones, seguimiento de ejecución y gestión de proyectos.</t>
        </is>
      </c>
    </row>
    <row r="8">
      <c r="A8" t="inlineStr">
        <is>
          <t>CALLAO</t>
        </is>
      </c>
      <c r="B8" t="n">
        <v>22</v>
      </c>
      <c r="C8" t="inlineStr">
        <is>
          <t>PROVINCIA CONSTITUCIONAL DEL CALLAO</t>
        </is>
      </c>
      <c r="D8" t="n">
        <v>26.7</v>
      </c>
      <c r="E8" t="inlineStr">
        <is>
          <t>EMERGENTE</t>
        </is>
      </c>
      <c r="F8" t="n">
        <v>0</v>
      </c>
      <c r="G8" t="inlineStr">
        <is>
          <t>MUY BAJA</t>
        </is>
      </c>
      <c r="H8" t="n">
        <v>26.7</v>
      </c>
      <c r="I8" t="inlineStr">
        <is>
          <t>BRECHA ALTA</t>
        </is>
      </c>
      <c r="J8" t="inlineStr">
        <is>
          <t>EMERGENTE</t>
        </is>
      </c>
      <c r="K8" t="inlineStr">
        <is>
          <t>NARANJA</t>
        </is>
      </c>
      <c r="L8" t="n">
        <v>4689159</v>
      </c>
      <c r="M8" t="n">
        <v>1</v>
      </c>
      <c r="N8" t="n">
        <v>0</v>
      </c>
      <c r="O8" t="n">
        <v>0</v>
      </c>
      <c r="P8" t="n">
        <v>1</v>
      </c>
      <c r="Q8" t="n">
        <v>1</v>
      </c>
      <c r="R8" t="inlineStr">
        <is>
          <t>Q4 - MENOR POTENCIAL / BAJA EJECUCIÓN</t>
        </is>
      </c>
      <c r="S8" t="inlineStr">
        <is>
          <t>Desarrollar cartera inicial y mejorar evidencia territorial de naturaleza y aventura.</t>
        </is>
      </c>
      <c r="T8" t="inlineStr">
        <is>
          <t>PROVINCIA CONSTITUCIONAL DEL CALLAO</t>
        </is>
      </c>
      <c r="U8" t="inlineStr">
        <is>
          <t>REQUIERE ACELERACIÓN</t>
        </is>
      </c>
      <c r="V8" t="inlineStr">
        <is>
          <t>Acelerar ejecución y fortalecer la cartera de productos de naturaleza y aventura.</t>
        </is>
      </c>
    </row>
    <row r="9">
      <c r="A9" t="inlineStr">
        <is>
          <t>CUSCO</t>
        </is>
      </c>
      <c r="B9" t="n">
        <v>5</v>
      </c>
      <c r="C9" t="inlineStr">
        <is>
          <t>CUSCO</t>
        </is>
      </c>
      <c r="D9" t="n">
        <v>61.8</v>
      </c>
      <c r="E9" t="inlineStr">
        <is>
          <t>ALTO POTENCIAL</t>
        </is>
      </c>
      <c r="F9" t="n">
        <v>54.5</v>
      </c>
      <c r="G9" t="inlineStr">
        <is>
          <t>MEDIA</t>
        </is>
      </c>
      <c r="H9" t="n">
        <v>7.3</v>
      </c>
      <c r="I9" t="inlineStr">
        <is>
          <t>BRECHA MODERADA</t>
        </is>
      </c>
      <c r="J9" t="inlineStr">
        <is>
          <t>ALTO POTENCIAL - REQUIERE ACELERACIÓN</t>
        </is>
      </c>
      <c r="K9" t="inlineStr">
        <is>
          <t>AMARILLA</t>
        </is>
      </c>
      <c r="L9" t="n">
        <v>3906375</v>
      </c>
      <c r="M9" t="n">
        <v>15</v>
      </c>
      <c r="N9" t="n">
        <v>1</v>
      </c>
      <c r="O9" t="n">
        <v>1</v>
      </c>
      <c r="P9" t="n">
        <v>5</v>
      </c>
      <c r="Q9" t="n">
        <v>5</v>
      </c>
      <c r="R9" t="inlineStr">
        <is>
          <t>Q1 - ALTO POTENCIAL / ALTA EJECUCIÓN</t>
        </is>
      </c>
      <c r="S9" t="inlineStr">
        <is>
          <t>Acelerar ejecución y fortalecer cartera de productos de naturaleza y aventura.</t>
        </is>
      </c>
      <c r="T9" t="inlineStr">
        <is>
          <t>CUSCO</t>
        </is>
      </c>
      <c r="U9" t="inlineStr">
        <is>
          <t>REQUIERE ACELERACIÓN</t>
        </is>
      </c>
      <c r="V9" t="inlineStr">
        <is>
          <t>Acelerar ejecución y fortalecer la cartera de productos de naturaleza y aventura.</t>
        </is>
      </c>
    </row>
    <row r="10">
      <c r="A10" t="inlineStr">
        <is>
          <t>HUANCAVELICA</t>
        </is>
      </c>
      <c r="B10" t="n">
        <v/>
      </c>
      <c r="C10" t="n">
        <v/>
      </c>
      <c r="D10" t="n">
        <v>0</v>
      </c>
      <c r="E10" t="n">
        <v/>
      </c>
      <c r="F10" t="n">
        <v>0</v>
      </c>
      <c r="G10" t="n">
        <v/>
      </c>
      <c r="H10" t="n">
        <v>0</v>
      </c>
      <c r="I10" t="n">
        <v/>
      </c>
      <c r="J10" t="n">
        <v/>
      </c>
      <c r="K10" t="n">
        <v/>
      </c>
      <c r="L10" t="n">
        <v>0</v>
      </c>
      <c r="M10" t="n">
        <v>0</v>
      </c>
      <c r="N10" t="n">
        <v>0</v>
      </c>
      <c r="O10" t="n">
        <v>0</v>
      </c>
      <c r="P10" t="n">
        <v/>
      </c>
      <c r="Q10" t="n">
        <v/>
      </c>
      <c r="R10" t="n">
        <v/>
      </c>
      <c r="S10" t="n">
        <v/>
      </c>
      <c r="T10" t="inlineStr">
        <is>
          <t>HUANCAVELICA</t>
        </is>
      </c>
      <c r="U10" t="inlineStr">
        <is>
          <t>SIN EVIDENCIA RADAR</t>
        </is>
      </c>
      <c r="V10" t="inlineStr">
        <is>
          <t>Generar evidencia y desarrollar una cartera inicial de inversión vinculada a naturaleza y aventura.</t>
        </is>
      </c>
    </row>
    <row r="11">
      <c r="A11" t="inlineStr">
        <is>
          <t>HUANUCO</t>
        </is>
      </c>
      <c r="B11" t="n">
        <v>16</v>
      </c>
      <c r="C11" t="inlineStr">
        <is>
          <t>HUANUCO</t>
        </is>
      </c>
      <c r="D11" t="n">
        <v>53.6</v>
      </c>
      <c r="E11" t="inlineStr">
        <is>
          <t>EN CONSOLIDACIÓN</t>
        </is>
      </c>
      <c r="F11" t="n">
        <v>27.4</v>
      </c>
      <c r="G11" t="inlineStr">
        <is>
          <t>BAJA</t>
        </is>
      </c>
      <c r="H11" t="n">
        <v>26.2</v>
      </c>
      <c r="I11" t="inlineStr">
        <is>
          <t>BRECHA ALTA</t>
        </is>
      </c>
      <c r="J11" t="inlineStr">
        <is>
          <t>EN CONSOLIDACIÓN</t>
        </is>
      </c>
      <c r="K11" t="inlineStr">
        <is>
          <t>NARANJA</t>
        </is>
      </c>
      <c r="L11" t="n">
        <v>1873115</v>
      </c>
      <c r="M11" t="n">
        <v>6</v>
      </c>
      <c r="N11" t="n">
        <v>0</v>
      </c>
      <c r="O11" t="n">
        <v>0</v>
      </c>
      <c r="P11" t="n">
        <v>3</v>
      </c>
      <c r="Q11" t="n">
        <v>5</v>
      </c>
      <c r="R11" t="inlineStr">
        <is>
          <t>Q4 - MENOR POTENCIAL / BAJA EJECUCIÓN</t>
        </is>
      </c>
      <c r="S11" t="inlineStr">
        <is>
          <t>Fortalecer productos, articulación territorial y calidad de la cartera de inversión.</t>
        </is>
      </c>
      <c r="T11" t="inlineStr">
        <is>
          <t>HUANUCO</t>
        </is>
      </c>
      <c r="U11" t="inlineStr">
        <is>
          <t>REQUIERE ACELERACIÓN</t>
        </is>
      </c>
      <c r="V11" t="inlineStr">
        <is>
          <t>Acelerar ejecución y fortalecer la cartera de productos de naturaleza y aventura.</t>
        </is>
      </c>
    </row>
    <row r="12">
      <c r="A12" t="inlineStr">
        <is>
          <t>ICA</t>
        </is>
      </c>
      <c r="B12" t="n">
        <v>20</v>
      </c>
      <c r="C12" t="inlineStr">
        <is>
          <t>ICA</t>
        </is>
      </c>
      <c r="D12" t="n">
        <v>44.9</v>
      </c>
      <c r="E12" t="inlineStr">
        <is>
          <t>EMERGENTE</t>
        </is>
      </c>
      <c r="F12" t="n">
        <v>71.3</v>
      </c>
      <c r="G12" t="inlineStr">
        <is>
          <t>ALTA</t>
        </is>
      </c>
      <c r="H12" t="n">
        <v>-26.4</v>
      </c>
      <c r="I12" t="inlineStr">
        <is>
          <t>EJECUCIÓN SUPERIOR AL POTENCIAL</t>
        </is>
      </c>
      <c r="J12" t="inlineStr">
        <is>
          <t>EMERGENTE</t>
        </is>
      </c>
      <c r="K12" t="inlineStr">
        <is>
          <t>VERDE</t>
        </is>
      </c>
      <c r="L12" t="n">
        <v>2199151</v>
      </c>
      <c r="M12" t="n">
        <v>4</v>
      </c>
      <c r="N12" t="n">
        <v>0</v>
      </c>
      <c r="O12" t="n">
        <v>0</v>
      </c>
      <c r="P12" t="n">
        <v>2</v>
      </c>
      <c r="Q12" t="n">
        <v>4</v>
      </c>
      <c r="R12" t="inlineStr">
        <is>
          <t>Q3 - MENOR POTENCIAL / ALTA EJECUCIÓN</t>
        </is>
      </c>
      <c r="S12" t="inlineStr">
        <is>
          <t>Desarrollar cartera inicial y mejorar evidencia territorial de naturaleza y aventura.</t>
        </is>
      </c>
      <c r="T12" t="inlineStr">
        <is>
          <t>ICA</t>
        </is>
      </c>
      <c r="U12" t="inlineStr">
        <is>
          <t>BUENA EJECUCIÓN</t>
        </is>
      </c>
      <c r="V12" t="inlineStr">
        <is>
          <t>Ampliar masa crítica de proyectos y fortalecer la diversificación territorial.</t>
        </is>
      </c>
    </row>
    <row r="13">
      <c r="A13" t="inlineStr">
        <is>
          <t>JUNIN</t>
        </is>
      </c>
      <c r="B13" t="n">
        <v>10</v>
      </c>
      <c r="C13" t="inlineStr">
        <is>
          <t>JUNIN</t>
        </is>
      </c>
      <c r="D13" t="n">
        <v>59</v>
      </c>
      <c r="E13" t="inlineStr">
        <is>
          <t>EN CONSOLIDACIÓN</t>
        </is>
      </c>
      <c r="F13" t="n">
        <v>80.3</v>
      </c>
      <c r="G13" t="inlineStr">
        <is>
          <t>MUY ALTA</t>
        </is>
      </c>
      <c r="H13" t="n">
        <v>-21.3</v>
      </c>
      <c r="I13" t="inlineStr">
        <is>
          <t>EJECUCIÓN SUPERIOR AL POTENCIAL</t>
        </is>
      </c>
      <c r="J13" t="inlineStr">
        <is>
          <t>EMERGENTE CON BUENA EJECUCIÓN</t>
        </is>
      </c>
      <c r="K13" t="inlineStr">
        <is>
          <t>VERDE</t>
        </is>
      </c>
      <c r="L13" t="n">
        <v>1396435</v>
      </c>
      <c r="M13" t="n">
        <v>11</v>
      </c>
      <c r="N13" t="n">
        <v>1</v>
      </c>
      <c r="O13" t="n">
        <v>1</v>
      </c>
      <c r="P13" t="n">
        <v>5</v>
      </c>
      <c r="Q13" t="n">
        <v>4</v>
      </c>
      <c r="R13" t="inlineStr">
        <is>
          <t>Q1 - ALTO POTENCIAL / ALTA EJECUCIÓN</t>
        </is>
      </c>
      <c r="S13" t="inlineStr">
        <is>
          <t>Ampliar masa crítica de proyectos y fortalecer diversificación del destino.</t>
        </is>
      </c>
      <c r="T13" t="inlineStr">
        <is>
          <t>JUNIN</t>
        </is>
      </c>
      <c r="U13" t="inlineStr">
        <is>
          <t>BUENA EJECUCIÓN</t>
        </is>
      </c>
      <c r="V13" t="inlineStr">
        <is>
          <t>Ampliar masa crítica de proyectos y fortalecer la diversificación territorial.</t>
        </is>
      </c>
    </row>
    <row r="14">
      <c r="A14" t="inlineStr">
        <is>
          <t>LA LIBERTAD</t>
        </is>
      </c>
      <c r="B14" t="n">
        <v>8</v>
      </c>
      <c r="C14" t="inlineStr">
        <is>
          <t>LA LIBERTAD</t>
        </is>
      </c>
      <c r="D14" t="n">
        <v>60.3</v>
      </c>
      <c r="E14" t="inlineStr">
        <is>
          <t>ALTO POTENCIAL</t>
        </is>
      </c>
      <c r="F14" t="n">
        <v>24.6</v>
      </c>
      <c r="G14" t="inlineStr">
        <is>
          <t>BAJA</t>
        </is>
      </c>
      <c r="H14" t="n">
        <v>35.7</v>
      </c>
      <c r="I14" t="inlineStr">
        <is>
          <t>BRECHA CRÍTICA</t>
        </is>
      </c>
      <c r="J14" t="inlineStr">
        <is>
          <t>ALTO POTENCIAL - EJECUCIÓN CRÍTICA</t>
        </is>
      </c>
      <c r="K14" t="inlineStr">
        <is>
          <t>ROJA</t>
        </is>
      </c>
      <c r="L14" t="n">
        <v>9875662</v>
      </c>
      <c r="M14" t="n">
        <v>10</v>
      </c>
      <c r="N14" t="n">
        <v>1</v>
      </c>
      <c r="O14" t="n">
        <v>1</v>
      </c>
      <c r="P14" t="n">
        <v>3</v>
      </c>
      <c r="Q14" t="n">
        <v>6</v>
      </c>
      <c r="R14" t="inlineStr">
        <is>
          <t>Q2 - ALTO POTENCIAL / BAJA EJECUCIÓN</t>
        </is>
      </c>
      <c r="S14" t="inlineStr">
        <is>
          <t>Priorizar destrabe de inversiones, seguimiento de ejecución y gestión de proyectos.</t>
        </is>
      </c>
      <c r="T14" t="inlineStr">
        <is>
          <t>LA LIBERTAD</t>
        </is>
      </c>
      <c r="U14" t="inlineStr">
        <is>
          <t>BRECHA CRÍTICA</t>
        </is>
      </c>
      <c r="V14" t="inlineStr">
        <is>
          <t>Priorizar destrabe de inversiones, seguimiento de ejecución y gestión de proyectos.</t>
        </is>
      </c>
    </row>
    <row r="15">
      <c r="A15" t="inlineStr">
        <is>
          <t>LAMBAYEQUE</t>
        </is>
      </c>
      <c r="B15" t="n">
        <v>21</v>
      </c>
      <c r="C15" t="inlineStr">
        <is>
          <t>LAMBAYEQUE</t>
        </is>
      </c>
      <c r="D15" t="n">
        <v>42.3</v>
      </c>
      <c r="E15" t="inlineStr">
        <is>
          <t>EMERGENTE</t>
        </is>
      </c>
      <c r="F15" t="n">
        <v>27</v>
      </c>
      <c r="G15" t="inlineStr">
        <is>
          <t>BAJA</t>
        </is>
      </c>
      <c r="H15" t="n">
        <v>15.3</v>
      </c>
      <c r="I15" t="inlineStr">
        <is>
          <t>BRECHA ALTA</t>
        </is>
      </c>
      <c r="J15" t="inlineStr">
        <is>
          <t>EMERGENTE</t>
        </is>
      </c>
      <c r="K15" t="inlineStr">
        <is>
          <t>NARANJA</t>
        </is>
      </c>
      <c r="L15" t="n">
        <v>22405826</v>
      </c>
      <c r="M15" t="n">
        <v>5</v>
      </c>
      <c r="N15" t="n">
        <v>0</v>
      </c>
      <c r="O15" t="n">
        <v>0</v>
      </c>
      <c r="P15" t="n">
        <v>1</v>
      </c>
      <c r="Q15" t="n">
        <v>3</v>
      </c>
      <c r="R15" t="inlineStr">
        <is>
          <t>Q4 - MENOR POTENCIAL / BAJA EJECUCIÓN</t>
        </is>
      </c>
      <c r="S15" t="inlineStr">
        <is>
          <t>Desarrollar cartera inicial y mejorar evidencia territorial de naturaleza y aventura.</t>
        </is>
      </c>
      <c r="T15" t="inlineStr">
        <is>
          <t>LAMBAYEQUE</t>
        </is>
      </c>
      <c r="U15" t="inlineStr">
        <is>
          <t>REQUIERE ACELERACIÓN</t>
        </is>
      </c>
      <c r="V15" t="inlineStr">
        <is>
          <t>Acelerar ejecución y fortalecer la cartera de productos de naturaleza y aventura.</t>
        </is>
      </c>
    </row>
    <row r="16">
      <c r="A16" t="inlineStr">
        <is>
          <t>LIMA</t>
        </is>
      </c>
      <c r="B16" t="n">
        <v>9</v>
      </c>
      <c r="C16" t="inlineStr">
        <is>
          <t>LIMA</t>
        </is>
      </c>
      <c r="D16" t="n">
        <v>59.6</v>
      </c>
      <c r="E16" t="inlineStr">
        <is>
          <t>EN CONSOLIDACIÓN</t>
        </is>
      </c>
      <c r="F16" t="n">
        <v>39</v>
      </c>
      <c r="G16" t="inlineStr">
        <is>
          <t>BAJA</t>
        </is>
      </c>
      <c r="H16" t="n">
        <v>20.6</v>
      </c>
      <c r="I16" t="inlineStr">
        <is>
          <t>BRECHA ALTA</t>
        </is>
      </c>
      <c r="J16" t="inlineStr">
        <is>
          <t>EN CONSOLIDACIÓN</t>
        </is>
      </c>
      <c r="K16" t="inlineStr">
        <is>
          <t>NARANJA</t>
        </is>
      </c>
      <c r="L16" t="n">
        <v>6264980</v>
      </c>
      <c r="M16" t="n">
        <v>14</v>
      </c>
      <c r="N16" t="n">
        <v>1</v>
      </c>
      <c r="O16" t="n">
        <v>0</v>
      </c>
      <c r="P16" t="n">
        <v>5</v>
      </c>
      <c r="Q16" t="n">
        <v>6</v>
      </c>
      <c r="R16" t="inlineStr">
        <is>
          <t>Q1 - ALTO POTENCIAL / ALTA EJECUCIÓN</t>
        </is>
      </c>
      <c r="S16" t="inlineStr">
        <is>
          <t>Fortalecer productos, articulación territorial y calidad de la cartera de inversión.</t>
        </is>
      </c>
      <c r="T16" t="inlineStr">
        <is>
          <t>LIMA</t>
        </is>
      </c>
      <c r="U16" t="inlineStr">
        <is>
          <t>REQUIERE ACELERACIÓN</t>
        </is>
      </c>
      <c r="V16" t="inlineStr">
        <is>
          <t>Acelerar ejecución y fortalecer la cartera de productos de naturaleza y aventura.</t>
        </is>
      </c>
    </row>
    <row r="17">
      <c r="A17" t="inlineStr">
        <is>
          <t>LORETO</t>
        </is>
      </c>
      <c r="B17" t="n">
        <v>3</v>
      </c>
      <c r="C17" t="inlineStr">
        <is>
          <t>LORETO</t>
        </is>
      </c>
      <c r="D17" t="n">
        <v>63.8</v>
      </c>
      <c r="E17" t="inlineStr">
        <is>
          <t>ALTO POTENCIAL</t>
        </is>
      </c>
      <c r="F17" t="n">
        <v>75.8</v>
      </c>
      <c r="G17" t="inlineStr">
        <is>
          <t>ALTA</t>
        </is>
      </c>
      <c r="H17" t="n">
        <v>-12</v>
      </c>
      <c r="I17" t="inlineStr">
        <is>
          <t>EJECUCIÓN SUPERIOR AL POTENCIAL</t>
        </is>
      </c>
      <c r="J17" t="inlineStr">
        <is>
          <t>FORTALEZA CONSOLIDADA</t>
        </is>
      </c>
      <c r="K17" t="inlineStr">
        <is>
          <t>VERDE</t>
        </is>
      </c>
      <c r="L17" t="n">
        <v>21143232</v>
      </c>
      <c r="M17" t="n">
        <v>6</v>
      </c>
      <c r="N17" t="n">
        <v>1</v>
      </c>
      <c r="O17" t="n">
        <v>1</v>
      </c>
      <c r="P17" t="n">
        <v>3</v>
      </c>
      <c r="Q17" t="n">
        <v>6</v>
      </c>
      <c r="R17" t="inlineStr">
        <is>
          <t>Q1 - ALTO POTENCIAL / ALTA EJECUCIÓN</t>
        </is>
      </c>
      <c r="S17" t="inlineStr">
        <is>
          <t>Consolidar producto, promoción y articulación público-privada.</t>
        </is>
      </c>
      <c r="T17" t="inlineStr">
        <is>
          <t>LORETO</t>
        </is>
      </c>
      <c r="U17" t="inlineStr">
        <is>
          <t>FORTALEZA CONSOLIDADA</t>
        </is>
      </c>
      <c r="V17" t="inlineStr">
        <is>
          <t>Consolidar producto, promoción y articulación público-privada.</t>
        </is>
      </c>
    </row>
    <row r="18">
      <c r="A18" t="inlineStr">
        <is>
          <t>MADRE DE DIOS</t>
        </is>
      </c>
      <c r="B18" t="n">
        <v>11</v>
      </c>
      <c r="C18" t="inlineStr">
        <is>
          <t>MADRE DE DIOS</t>
        </is>
      </c>
      <c r="D18" t="n">
        <v>58.4</v>
      </c>
      <c r="E18" t="inlineStr">
        <is>
          <t>EN CONSOLIDACIÓN</t>
        </is>
      </c>
      <c r="F18" t="n">
        <v>15.8</v>
      </c>
      <c r="G18" t="inlineStr">
        <is>
          <t>MUY BAJA</t>
        </is>
      </c>
      <c r="H18" t="n">
        <v>42.6</v>
      </c>
      <c r="I18" t="inlineStr">
        <is>
          <t>BRECHA CRÍTICA</t>
        </is>
      </c>
      <c r="J18" t="inlineStr">
        <is>
          <t>POTENCIAL CON BRECHA DE GESTIÓN</t>
        </is>
      </c>
      <c r="K18" t="inlineStr">
        <is>
          <t>ROJA</t>
        </is>
      </c>
      <c r="L18" t="n">
        <v>3036705</v>
      </c>
      <c r="M18" t="n">
        <v>2</v>
      </c>
      <c r="N18" t="n">
        <v>1</v>
      </c>
      <c r="O18" t="n">
        <v>1</v>
      </c>
      <c r="P18" t="n">
        <v>2</v>
      </c>
      <c r="Q18" t="n">
        <v>2</v>
      </c>
      <c r="R18" t="inlineStr">
        <is>
          <t>Q2 - ALTO POTENCIAL / BAJA EJECUCIÓN</t>
        </is>
      </c>
      <c r="S18" t="inlineStr">
        <is>
          <t>Mejorar capacidad de gestión territorial y priorizar proyectos de mayor impacto.</t>
        </is>
      </c>
      <c r="T18" t="inlineStr">
        <is>
          <t>MADRE DE DIOS</t>
        </is>
      </c>
      <c r="U18" t="inlineStr">
        <is>
          <t>BRECHA CRÍTICA</t>
        </is>
      </c>
      <c r="V18" t="inlineStr">
        <is>
          <t>Priorizar destrabe de inversiones, seguimiento de ejecución y gestión de proyectos.</t>
        </is>
      </c>
    </row>
    <row r="19">
      <c r="A19" t="inlineStr">
        <is>
          <t>MOQUEGUA</t>
        </is>
      </c>
      <c r="B19" t="n">
        <v>15</v>
      </c>
      <c r="C19" t="inlineStr">
        <is>
          <t>MOQUEGUA</t>
        </is>
      </c>
      <c r="D19" t="n">
        <v>53.8</v>
      </c>
      <c r="E19" t="inlineStr">
        <is>
          <t>EN CONSOLIDACIÓN</t>
        </is>
      </c>
      <c r="F19" t="n">
        <v>10.2</v>
      </c>
      <c r="G19" t="inlineStr">
        <is>
          <t>MUY BAJA</t>
        </is>
      </c>
      <c r="H19" t="n">
        <v>43.6</v>
      </c>
      <c r="I19" t="inlineStr">
        <is>
          <t>BRECHA CRÍTICA</t>
        </is>
      </c>
      <c r="J19" t="inlineStr">
        <is>
          <t>POTENCIAL CON BRECHA DE GESTIÓN</t>
        </is>
      </c>
      <c r="K19" t="inlineStr">
        <is>
          <t>ROJA</t>
        </is>
      </c>
      <c r="L19" t="n">
        <v>1842941</v>
      </c>
      <c r="M19" t="n">
        <v>6</v>
      </c>
      <c r="N19" t="n">
        <v>1</v>
      </c>
      <c r="O19" t="n">
        <v>1</v>
      </c>
      <c r="P19" t="n">
        <v>4</v>
      </c>
      <c r="Q19" t="n">
        <v>3</v>
      </c>
      <c r="R19" t="inlineStr">
        <is>
          <t>Q4 - MENOR POTENCIAL / BAJA EJECUCIÓN</t>
        </is>
      </c>
      <c r="S19" t="inlineStr">
        <is>
          <t>Mejorar capacidad de gestión territorial y priorizar proyectos de mayor impacto.</t>
        </is>
      </c>
      <c r="T19" t="inlineStr">
        <is>
          <t>MOQUEGUA</t>
        </is>
      </c>
      <c r="U19" t="inlineStr">
        <is>
          <t>BRECHA CRÍTICA</t>
        </is>
      </c>
      <c r="V19" t="inlineStr">
        <is>
          <t>Priorizar destrabe de inversiones, seguimiento de ejecución y gestión de proyectos.</t>
        </is>
      </c>
    </row>
    <row r="20">
      <c r="A20" t="inlineStr">
        <is>
          <t>PASCO</t>
        </is>
      </c>
      <c r="B20" t="n">
        <v/>
      </c>
      <c r="C20" t="n">
        <v/>
      </c>
      <c r="D20" t="n">
        <v>0</v>
      </c>
      <c r="E20" t="n">
        <v/>
      </c>
      <c r="F20" t="n">
        <v>0</v>
      </c>
      <c r="G20" t="n">
        <v/>
      </c>
      <c r="H20" t="n">
        <v>0</v>
      </c>
      <c r="I20" t="n">
        <v/>
      </c>
      <c r="J20" t="n">
        <v/>
      </c>
      <c r="K20" t="n">
        <v/>
      </c>
      <c r="L20" t="n">
        <v>0</v>
      </c>
      <c r="M20" t="n">
        <v>0</v>
      </c>
      <c r="N20" t="n">
        <v>0</v>
      </c>
      <c r="O20" t="n">
        <v>0</v>
      </c>
      <c r="P20" t="n">
        <v/>
      </c>
      <c r="Q20" t="n">
        <v/>
      </c>
      <c r="R20" t="n">
        <v/>
      </c>
      <c r="S20" t="n">
        <v/>
      </c>
      <c r="T20" t="inlineStr">
        <is>
          <t>PASCO</t>
        </is>
      </c>
      <c r="U20" t="inlineStr">
        <is>
          <t>SIN EVIDENCIA RADAR</t>
        </is>
      </c>
      <c r="V20" t="inlineStr">
        <is>
          <t>Generar evidencia y desarrollar una cartera inicial de inversión vinculada a naturaleza y aventura.</t>
        </is>
      </c>
    </row>
    <row r="21">
      <c r="A21" t="inlineStr">
        <is>
          <t>PIURA</t>
        </is>
      </c>
      <c r="B21" t="n">
        <v>19</v>
      </c>
      <c r="C21" t="inlineStr">
        <is>
          <t>PIURA</t>
        </is>
      </c>
      <c r="D21" t="n">
        <v>46.3</v>
      </c>
      <c r="E21" t="inlineStr">
        <is>
          <t>EN CONSOLIDACIÓN</t>
        </is>
      </c>
      <c r="F21" t="n">
        <v>92</v>
      </c>
      <c r="G21" t="inlineStr">
        <is>
          <t>MUY ALTA</t>
        </is>
      </c>
      <c r="H21" t="n">
        <v>-45.7</v>
      </c>
      <c r="I21" t="inlineStr">
        <is>
          <t>EJECUCIÓN SUPERIOR AL POTENCIAL</t>
        </is>
      </c>
      <c r="J21" t="inlineStr">
        <is>
          <t>EMERGENTE CON BUENA EJECUCIÓN</t>
        </is>
      </c>
      <c r="K21" t="inlineStr">
        <is>
          <t>VERDE</t>
        </is>
      </c>
      <c r="L21" t="n">
        <v>16972390</v>
      </c>
      <c r="M21" t="n">
        <v>8</v>
      </c>
      <c r="N21" t="n">
        <v>0</v>
      </c>
      <c r="O21" t="n">
        <v>0</v>
      </c>
      <c r="P21" t="n">
        <v>3</v>
      </c>
      <c r="Q21" t="n">
        <v>3</v>
      </c>
      <c r="R21" t="inlineStr">
        <is>
          <t>Q3 - MENOR POTENCIAL / ALTA EJECUCIÓN</t>
        </is>
      </c>
      <c r="S21" t="inlineStr">
        <is>
          <t>Ampliar masa crítica de proyectos y fortalecer diversificación del destino.</t>
        </is>
      </c>
      <c r="T21" t="inlineStr">
        <is>
          <t>PIURA</t>
        </is>
      </c>
      <c r="U21" t="inlineStr">
        <is>
          <t>BUENA EJECUCIÓN</t>
        </is>
      </c>
      <c r="V21" t="inlineStr">
        <is>
          <t>Ampliar masa crítica de proyectos y fortalecer la diversificación territorial.</t>
        </is>
      </c>
    </row>
    <row r="22">
      <c r="A22" t="inlineStr">
        <is>
          <t>PUNO</t>
        </is>
      </c>
      <c r="B22" t="n">
        <v>2</v>
      </c>
      <c r="C22" t="inlineStr">
        <is>
          <t>PUNO</t>
        </is>
      </c>
      <c r="D22" t="n">
        <v>64.7</v>
      </c>
      <c r="E22" t="inlineStr">
        <is>
          <t>ALTO POTENCIAL</t>
        </is>
      </c>
      <c r="F22" t="n">
        <v>36.1</v>
      </c>
      <c r="G22" t="inlineStr">
        <is>
          <t>BAJA</t>
        </is>
      </c>
      <c r="H22" t="n">
        <v>28.6</v>
      </c>
      <c r="I22" t="inlineStr">
        <is>
          <t>BRECHA ALTA</t>
        </is>
      </c>
      <c r="J22" t="inlineStr">
        <is>
          <t>ALTO POTENCIAL - REQUIERE ACELERACIÓN</t>
        </is>
      </c>
      <c r="K22" t="inlineStr">
        <is>
          <t>NARANJA</t>
        </is>
      </c>
      <c r="L22" t="n">
        <v>19630432</v>
      </c>
      <c r="M22" t="n">
        <v>10</v>
      </c>
      <c r="N22" t="n">
        <v>1</v>
      </c>
      <c r="O22" t="n">
        <v>1</v>
      </c>
      <c r="P22" t="n">
        <v>4</v>
      </c>
      <c r="Q22" t="n">
        <v>7</v>
      </c>
      <c r="R22" t="inlineStr">
        <is>
          <t>Q1 - ALTO POTENCIAL / ALTA EJECUCIÓN</t>
        </is>
      </c>
      <c r="S22" t="inlineStr">
        <is>
          <t>Acelerar ejecución y fortalecer cartera de productos de naturaleza y aventura.</t>
        </is>
      </c>
      <c r="T22" t="inlineStr">
        <is>
          <t>PUNO</t>
        </is>
      </c>
      <c r="U22" t="inlineStr">
        <is>
          <t>REQUIERE ACELERACIÓN</t>
        </is>
      </c>
      <c r="V22" t="inlineStr">
        <is>
          <t>Acelerar ejecución y fortalecer la cartera de productos de naturaleza y aventura.</t>
        </is>
      </c>
    </row>
    <row r="23">
      <c r="A23" t="inlineStr">
        <is>
          <t>SAN MARTIN</t>
        </is>
      </c>
      <c r="B23" t="n">
        <v>18</v>
      </c>
      <c r="C23" t="inlineStr">
        <is>
          <t>SAN MARTIN</t>
        </is>
      </c>
      <c r="D23" t="n">
        <v>47.6</v>
      </c>
      <c r="E23" t="inlineStr">
        <is>
          <t>EN CONSOLIDACIÓN</t>
        </is>
      </c>
      <c r="F23" t="n">
        <v>6.5</v>
      </c>
      <c r="G23" t="inlineStr">
        <is>
          <t>MUY BAJA</t>
        </is>
      </c>
      <c r="H23" t="n">
        <v>41.1</v>
      </c>
      <c r="I23" t="inlineStr">
        <is>
          <t>BRECHA CRÍTICA</t>
        </is>
      </c>
      <c r="J23" t="inlineStr">
        <is>
          <t>POTENCIAL CON BRECHA DE GESTIÓN</t>
        </is>
      </c>
      <c r="K23" t="inlineStr">
        <is>
          <t>ROJA</t>
        </is>
      </c>
      <c r="L23" t="n">
        <v>1672095</v>
      </c>
      <c r="M23" t="n">
        <v>8</v>
      </c>
      <c r="N23" t="n">
        <v>0</v>
      </c>
      <c r="O23" t="n">
        <v>0</v>
      </c>
      <c r="P23" t="n">
        <v>3</v>
      </c>
      <c r="Q23" t="n">
        <v>3</v>
      </c>
      <c r="R23" t="inlineStr">
        <is>
          <t>Q4 - MENOR POTENCIAL / BAJA EJECUCIÓN</t>
        </is>
      </c>
      <c r="S23" t="inlineStr">
        <is>
          <t>Mejorar capacidad de gestión territorial y priorizar proyectos de mayor impacto.</t>
        </is>
      </c>
      <c r="T23" t="inlineStr">
        <is>
          <t>SAN MARTIN</t>
        </is>
      </c>
      <c r="U23" t="inlineStr">
        <is>
          <t>BRECHA CRÍTICA</t>
        </is>
      </c>
      <c r="V23" t="inlineStr">
        <is>
          <t>Priorizar destrabe de inversiones, seguimiento de ejecución y gestión de proyectos.</t>
        </is>
      </c>
    </row>
    <row r="24">
      <c r="A24" t="inlineStr">
        <is>
          <t>TACNA</t>
        </is>
      </c>
      <c r="B24" t="n">
        <v>14</v>
      </c>
      <c r="C24" t="inlineStr">
        <is>
          <t>TACNA</t>
        </is>
      </c>
      <c r="D24" t="n">
        <v>54.5</v>
      </c>
      <c r="E24" t="inlineStr">
        <is>
          <t>EN CONSOLIDACIÓN</t>
        </is>
      </c>
      <c r="F24" t="n">
        <v>67.09999999999999</v>
      </c>
      <c r="G24" t="inlineStr">
        <is>
          <t>ALTA</t>
        </is>
      </c>
      <c r="H24" t="n">
        <v>-12.6</v>
      </c>
      <c r="I24" t="inlineStr">
        <is>
          <t>EJECUCIÓN SUPERIOR AL POTENCIAL</t>
        </is>
      </c>
      <c r="J24" t="inlineStr">
        <is>
          <t>EMERGENTE CON BUENA EJECUCIÓN</t>
        </is>
      </c>
      <c r="K24" t="inlineStr">
        <is>
          <t>VERDE</t>
        </is>
      </c>
      <c r="L24" t="n">
        <v>3848389</v>
      </c>
      <c r="M24" t="n">
        <v>6</v>
      </c>
      <c r="N24" t="n">
        <v>1</v>
      </c>
      <c r="O24" t="n">
        <v>0</v>
      </c>
      <c r="P24" t="n">
        <v>4</v>
      </c>
      <c r="Q24" t="n">
        <v>3</v>
      </c>
      <c r="R24" t="inlineStr">
        <is>
          <t>Q3 - MENOR POTENCIAL / ALTA EJECUCIÓN</t>
        </is>
      </c>
      <c r="S24" t="inlineStr">
        <is>
          <t>Ampliar masa crítica de proyectos y fortalecer diversificación del destino.</t>
        </is>
      </c>
      <c r="T24" t="inlineStr">
        <is>
          <t>TACNA</t>
        </is>
      </c>
      <c r="U24" t="inlineStr">
        <is>
          <t>BUENA EJECUCIÓN</t>
        </is>
      </c>
      <c r="V24" t="inlineStr">
        <is>
          <t>Ampliar masa crítica de proyectos y fortalecer la diversificación territorial.</t>
        </is>
      </c>
    </row>
    <row r="25">
      <c r="A25" t="inlineStr">
        <is>
          <t>TUMBES</t>
        </is>
      </c>
      <c r="B25" t="n">
        <v>23</v>
      </c>
      <c r="C25" t="inlineStr">
        <is>
          <t>TUMBES</t>
        </is>
      </c>
      <c r="D25" t="n">
        <v>4</v>
      </c>
      <c r="E25" t="inlineStr">
        <is>
          <t>EMERGENTE</t>
        </is>
      </c>
      <c r="F25" t="n">
        <v>0</v>
      </c>
      <c r="G25" t="inlineStr">
        <is>
          <t>MUY BAJA</t>
        </is>
      </c>
      <c r="H25" t="n">
        <v>4</v>
      </c>
      <c r="I25" t="inlineStr">
        <is>
          <t>EQUILIBRIO</t>
        </is>
      </c>
      <c r="J25" t="inlineStr">
        <is>
          <t>EMERGENTE</t>
        </is>
      </c>
      <c r="K25" t="inlineStr">
        <is>
          <t>VERDE</t>
        </is>
      </c>
      <c r="L25" t="n">
        <v>0</v>
      </c>
      <c r="M25" t="n">
        <v>1</v>
      </c>
      <c r="N25" t="n">
        <v>0</v>
      </c>
      <c r="O25" t="n">
        <v>0</v>
      </c>
      <c r="P25" t="n">
        <v>1</v>
      </c>
      <c r="Q25" t="n">
        <v>1</v>
      </c>
      <c r="R25" t="inlineStr">
        <is>
          <t>Q4 - MENOR POTENCIAL / BAJA EJECUCIÓN</t>
        </is>
      </c>
      <c r="S25" t="inlineStr">
        <is>
          <t>Desarrollar cartera inicial y mejorar evidencia territorial de naturaleza y aventura.</t>
        </is>
      </c>
      <c r="T25" t="inlineStr">
        <is>
          <t>TUMBES</t>
        </is>
      </c>
      <c r="U25" t="inlineStr">
        <is>
          <t>EN CONSOLIDACIÓN</t>
        </is>
      </c>
      <c r="V25" t="inlineStr">
        <is>
          <t>Fortalecer productos, articulación territorial y calidad de la cartera.</t>
        </is>
      </c>
    </row>
    <row r="26">
      <c r="A26" t="inlineStr">
        <is>
          <t>UCAYALI</t>
        </is>
      </c>
      <c r="B26" t="n">
        <v>17</v>
      </c>
      <c r="C26" t="inlineStr">
        <is>
          <t>UCAYALI</t>
        </is>
      </c>
      <c r="D26" t="n">
        <v>49.6</v>
      </c>
      <c r="E26" t="inlineStr">
        <is>
          <t>EN CONSOLIDACIÓN</t>
        </is>
      </c>
      <c r="F26" t="n">
        <v>87.90000000000001</v>
      </c>
      <c r="G26" t="inlineStr">
        <is>
          <t>MUY ALTA</t>
        </is>
      </c>
      <c r="H26" t="n">
        <v>-38.3</v>
      </c>
      <c r="I26" t="inlineStr">
        <is>
          <t>EJECUCIÓN SUPERIOR AL POTENCIAL</t>
        </is>
      </c>
      <c r="J26" t="inlineStr">
        <is>
          <t>EMERGENTE CON BUENA EJECUCIÓN</t>
        </is>
      </c>
      <c r="K26" t="inlineStr">
        <is>
          <t>VERDE</t>
        </is>
      </c>
      <c r="L26" t="n">
        <v>14766747</v>
      </c>
      <c r="M26" t="n">
        <v>6</v>
      </c>
      <c r="N26" t="n">
        <v>0</v>
      </c>
      <c r="O26" t="n">
        <v>0</v>
      </c>
      <c r="P26" t="n">
        <v>3</v>
      </c>
      <c r="Q26" t="n">
        <v>3</v>
      </c>
      <c r="R26" t="inlineStr">
        <is>
          <t>Q3 - MENOR POTENCIAL / ALTA EJECUCIÓN</t>
        </is>
      </c>
      <c r="S26" t="inlineStr">
        <is>
          <t>Ampliar masa crítica de proyectos y fortalecer diversificación del destino.</t>
        </is>
      </c>
      <c r="T26" t="inlineStr">
        <is>
          <t>UCAYALI</t>
        </is>
      </c>
      <c r="U26" t="inlineStr">
        <is>
          <t>BUENA EJECUCIÓN</t>
        </is>
      </c>
      <c r="V26" t="inlineStr">
        <is>
          <t>Ampliar masa crítica de proyectos y fortalecer la diversificación territorial.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2026-08-25T21:16:42Z</dcterms:created>
  <dcterms:modified xmlns:dcterms="http://purl.org/dc/terms/" xmlns:xsi="http://www.w3.org/2001/XMLSchema-instance" xsi:type="dcterms:W3CDTF">2026-08-25T21:16:42Z</dcterms:modified>
</cp:coreProperties>
</file>